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5bf746e8b79f9a/Desktop/"/>
    </mc:Choice>
  </mc:AlternateContent>
  <xr:revisionPtr revIDLastSave="10" documentId="8_{1A03C6D3-5BA8-483E-A671-9CFF346A07E3}" xr6:coauthVersionLast="47" xr6:coauthVersionMax="47" xr10:uidLastSave="{09F0C8AC-2920-44CF-9D69-307C622ED723}"/>
  <bookViews>
    <workbookView xWindow="-108" yWindow="-108" windowWidth="23256" windowHeight="12456" xr2:uid="{81FF66EE-8F56-4010-BB0C-677C95E870B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E61" i="1"/>
  <c r="D61" i="1"/>
  <c r="A61" i="1"/>
  <c r="G60" i="1"/>
  <c r="E60" i="1"/>
  <c r="D60" i="1"/>
  <c r="A60" i="1"/>
  <c r="G59" i="1"/>
  <c r="E59" i="1"/>
  <c r="D59" i="1"/>
  <c r="A59" i="1"/>
  <c r="G58" i="1"/>
  <c r="E58" i="1"/>
  <c r="D58" i="1"/>
  <c r="A58" i="1"/>
  <c r="G57" i="1"/>
  <c r="E57" i="1"/>
  <c r="D57" i="1"/>
  <c r="A57" i="1"/>
  <c r="G56" i="1"/>
  <c r="E56" i="1"/>
  <c r="D56" i="1"/>
  <c r="A56" i="1"/>
  <c r="G55" i="1"/>
  <c r="E55" i="1"/>
  <c r="D55" i="1"/>
  <c r="A55" i="1"/>
  <c r="G54" i="1"/>
  <c r="E54" i="1"/>
  <c r="D54" i="1"/>
  <c r="A54" i="1"/>
  <c r="G53" i="1"/>
  <c r="E53" i="1"/>
  <c r="D53" i="1"/>
  <c r="A53" i="1"/>
  <c r="G52" i="1"/>
  <c r="E52" i="1"/>
  <c r="D52" i="1"/>
  <c r="A52" i="1"/>
  <c r="G51" i="1"/>
  <c r="E51" i="1"/>
  <c r="D51" i="1"/>
  <c r="A51" i="1"/>
  <c r="G50" i="1"/>
  <c r="E50" i="1"/>
  <c r="D50" i="1"/>
  <c r="A50" i="1"/>
  <c r="G49" i="1"/>
  <c r="E49" i="1"/>
  <c r="D49" i="1"/>
  <c r="A49" i="1"/>
  <c r="G48" i="1"/>
  <c r="E48" i="1"/>
  <c r="D48" i="1"/>
  <c r="A48" i="1"/>
  <c r="G47" i="1"/>
  <c r="E47" i="1"/>
  <c r="D47" i="1"/>
  <c r="A47" i="1"/>
  <c r="G46" i="1"/>
  <c r="E46" i="1"/>
  <c r="D46" i="1"/>
  <c r="A46" i="1"/>
  <c r="G45" i="1"/>
  <c r="E45" i="1"/>
  <c r="D45" i="1"/>
  <c r="A45" i="1"/>
  <c r="G44" i="1"/>
  <c r="E44" i="1"/>
  <c r="D44" i="1"/>
  <c r="A44" i="1"/>
  <c r="G43" i="1"/>
  <c r="E43" i="1"/>
  <c r="D43" i="1"/>
  <c r="A43" i="1"/>
  <c r="G42" i="1"/>
  <c r="E42" i="1"/>
  <c r="D42" i="1"/>
  <c r="A42" i="1"/>
  <c r="G41" i="1"/>
  <c r="E41" i="1"/>
  <c r="D41" i="1"/>
  <c r="A41" i="1"/>
  <c r="G40" i="1"/>
  <c r="E40" i="1"/>
  <c r="D40" i="1"/>
  <c r="A40" i="1"/>
  <c r="G39" i="1"/>
  <c r="E39" i="1"/>
  <c r="D39" i="1"/>
  <c r="A39" i="1"/>
  <c r="G38" i="1"/>
  <c r="E38" i="1"/>
  <c r="D38" i="1"/>
  <c r="A38" i="1"/>
  <c r="G37" i="1"/>
  <c r="E37" i="1"/>
  <c r="D37" i="1"/>
  <c r="A37" i="1"/>
  <c r="G36" i="1"/>
  <c r="E36" i="1"/>
  <c r="D36" i="1"/>
  <c r="A36" i="1"/>
  <c r="G35" i="1"/>
  <c r="E35" i="1"/>
  <c r="D35" i="1"/>
  <c r="A35" i="1"/>
  <c r="G34" i="1"/>
  <c r="E34" i="1"/>
  <c r="D34" i="1"/>
  <c r="A34" i="1"/>
  <c r="G33" i="1"/>
  <c r="E33" i="1"/>
  <c r="D33" i="1"/>
  <c r="A33" i="1"/>
  <c r="G32" i="1"/>
  <c r="E32" i="1"/>
  <c r="D32" i="1"/>
  <c r="A32" i="1"/>
  <c r="G31" i="1"/>
  <c r="E31" i="1"/>
  <c r="D31" i="1"/>
  <c r="A31" i="1"/>
  <c r="G30" i="1"/>
  <c r="E30" i="1"/>
  <c r="D30" i="1"/>
  <c r="A30" i="1"/>
  <c r="G29" i="1"/>
  <c r="E29" i="1"/>
  <c r="D29" i="1"/>
  <c r="A29" i="1"/>
  <c r="G28" i="1"/>
  <c r="E28" i="1"/>
  <c r="D28" i="1"/>
  <c r="A28" i="1"/>
  <c r="G27" i="1"/>
  <c r="E27" i="1"/>
  <c r="D27" i="1"/>
  <c r="A27" i="1"/>
  <c r="G26" i="1"/>
  <c r="E26" i="1"/>
  <c r="D26" i="1"/>
  <c r="A26" i="1"/>
  <c r="G25" i="1"/>
  <c r="E25" i="1"/>
  <c r="D25" i="1"/>
  <c r="A25" i="1"/>
  <c r="G24" i="1"/>
  <c r="E24" i="1"/>
  <c r="D24" i="1"/>
  <c r="A24" i="1"/>
  <c r="G23" i="1"/>
  <c r="E23" i="1"/>
  <c r="D23" i="1"/>
  <c r="A23" i="1"/>
  <c r="G22" i="1"/>
  <c r="E22" i="1"/>
  <c r="D22" i="1"/>
  <c r="A22" i="1"/>
  <c r="G21" i="1"/>
  <c r="E21" i="1"/>
  <c r="D21" i="1"/>
  <c r="A21" i="1"/>
  <c r="G20" i="1"/>
  <c r="E20" i="1"/>
  <c r="D20" i="1"/>
  <c r="A20" i="1"/>
  <c r="G19" i="1"/>
  <c r="E19" i="1"/>
  <c r="D19" i="1"/>
  <c r="A19" i="1"/>
  <c r="G18" i="1"/>
  <c r="E18" i="1"/>
  <c r="D18" i="1"/>
  <c r="A18" i="1"/>
  <c r="G17" i="1"/>
  <c r="E17" i="1"/>
  <c r="D17" i="1"/>
  <c r="A17" i="1"/>
  <c r="G16" i="1"/>
  <c r="E16" i="1"/>
  <c r="D16" i="1"/>
  <c r="A16" i="1"/>
  <c r="G15" i="1"/>
  <c r="E15" i="1"/>
  <c r="D15" i="1"/>
  <c r="A15" i="1"/>
  <c r="G14" i="1"/>
  <c r="E14" i="1"/>
  <c r="D14" i="1"/>
  <c r="A14" i="1"/>
  <c r="G13" i="1"/>
  <c r="E13" i="1"/>
  <c r="D13" i="1"/>
  <c r="A13" i="1"/>
  <c r="G12" i="1"/>
  <c r="E12" i="1"/>
  <c r="D12" i="1"/>
  <c r="A12" i="1"/>
  <c r="G11" i="1"/>
  <c r="E11" i="1"/>
  <c r="D11" i="1"/>
  <c r="A11" i="1"/>
  <c r="G10" i="1"/>
  <c r="E10" i="1"/>
  <c r="D10" i="1"/>
  <c r="A10" i="1"/>
  <c r="G9" i="1"/>
  <c r="E9" i="1"/>
  <c r="D9" i="1"/>
  <c r="A9" i="1"/>
  <c r="G8" i="1"/>
  <c r="E8" i="1"/>
  <c r="D8" i="1"/>
  <c r="A8" i="1"/>
  <c r="G7" i="1"/>
  <c r="E7" i="1"/>
  <c r="D7" i="1"/>
  <c r="A7" i="1"/>
  <c r="G6" i="1"/>
  <c r="E6" i="1"/>
  <c r="D6" i="1"/>
  <c r="A6" i="1"/>
  <c r="G5" i="1"/>
  <c r="E5" i="1"/>
  <c r="D5" i="1"/>
  <c r="A5" i="1"/>
  <c r="G4" i="1"/>
  <c r="E4" i="1"/>
  <c r="D4" i="1"/>
  <c r="A4" i="1"/>
  <c r="G3" i="1"/>
  <c r="E3" i="1"/>
  <c r="D3" i="1"/>
  <c r="A3" i="1"/>
  <c r="G2" i="1"/>
  <c r="E2" i="1"/>
  <c r="D2" i="1"/>
  <c r="A2" i="1"/>
</calcChain>
</file>

<file path=xl/sharedStrings.xml><?xml version="1.0" encoding="utf-8"?>
<sst xmlns="http://schemas.openxmlformats.org/spreadsheetml/2006/main" count="310" uniqueCount="104">
  <si>
    <t>trainId</t>
  </si>
  <si>
    <t>trainNumber</t>
  </si>
  <si>
    <t>trainName</t>
  </si>
  <si>
    <t>trainType</t>
  </si>
  <si>
    <t>sourceStationId</t>
  </si>
  <si>
    <t>sourceStationName</t>
  </si>
  <si>
    <t>destinationStationId</t>
  </si>
  <si>
    <t>destinationStationName</t>
  </si>
  <si>
    <t>runningDays</t>
  </si>
  <si>
    <t>status</t>
  </si>
  <si>
    <t>PA-HWH DURAN</t>
  </si>
  <si>
    <t>PUNE</t>
  </si>
  <si>
    <t>HWH</t>
  </si>
  <si>
    <t>["MON", "TUE", "WED", "THU", "FRI", "SAT", "SUN"]</t>
  </si>
  <si>
    <t>ACTIVE</t>
  </si>
  <si>
    <t>HWH-PUNE DUR</t>
  </si>
  <si>
    <t>LTT-ERS DURO</t>
  </si>
  <si>
    <t>LTT</t>
  </si>
  <si>
    <t>ERS</t>
  </si>
  <si>
    <t>ERS-LTT DURO</t>
  </si>
  <si>
    <t>["TUE", "THU", "SAT", "SUN"]</t>
  </si>
  <si>
    <t>HWH - YPR WE</t>
  </si>
  <si>
    <t>YPR</t>
  </si>
  <si>
    <t>YPR - HWH WE</t>
  </si>
  <si>
    <t>CSMT-HWH DUR</t>
  </si>
  <si>
    <t>CSMT</t>
  </si>
  <si>
    <t>["WED", "SAT", "SUN"]</t>
  </si>
  <si>
    <t>HWH-CSMT DUR</t>
  </si>
  <si>
    <t>MAS-NZM DURA</t>
  </si>
  <si>
    <t>MAS</t>
  </si>
  <si>
    <t>NZM</t>
  </si>
  <si>
    <t>NZM-MAS DURA</t>
  </si>
  <si>
    <t>KOLKATA RAJD</t>
  </si>
  <si>
    <t>NDLS</t>
  </si>
  <si>
    <t>PATNA RAJDHA</t>
  </si>
  <si>
    <t>RJPB</t>
  </si>
  <si>
    <t>["MON", "TUE", "WED", "THU", "FRI", "SAT"]</t>
  </si>
  <si>
    <t>SDAH RAJDHAN</t>
  </si>
  <si>
    <t>SDAH</t>
  </si>
  <si>
    <t>DBRT-NDLS RA</t>
  </si>
  <si>
    <t>DBRT</t>
  </si>
  <si>
    <t>["MON", "WED", "FRI", "SUN"]</t>
  </si>
  <si>
    <t>NDLS-DBRT RA</t>
  </si>
  <si>
    <t>TVC-NZM RAJD</t>
  </si>
  <si>
    <t>TVC</t>
  </si>
  <si>
    <t>NZM-TVC RAJD</t>
  </si>
  <si>
    <t>MAS-NZM RAJD</t>
  </si>
  <si>
    <t>["TUE", "THU", "SAT"]</t>
  </si>
  <si>
    <t>NZM-MAS RAJD</t>
  </si>
  <si>
    <t>["MON", "THU", "SUN"]</t>
  </si>
  <si>
    <t>RAJDHANI EXP</t>
  </si>
  <si>
    <t>SC</t>
  </si>
  <si>
    <t>NZM SC RAJDH</t>
  </si>
  <si>
    <t>["TUE", "FRI"]</t>
  </si>
  <si>
    <t>BSP-NDLS</t>
  </si>
  <si>
    <t>BSP</t>
  </si>
  <si>
    <t>NDLS-BSP</t>
  </si>
  <si>
    <t>RNC-NDLS</t>
  </si>
  <si>
    <t>RNC</t>
  </si>
  <si>
    <t>NDLS-RNC</t>
  </si>
  <si>
    <t>MUMBAI RAJDH</t>
  </si>
  <si>
    <t>BCT</t>
  </si>
  <si>
    <t>["TUE", "WED", "THU", "FRI", "SAT", "SUN"]</t>
  </si>
  <si>
    <t>AUG KR RAJ E</t>
  </si>
  <si>
    <t>AG KRANTI RJ</t>
  </si>
  <si>
    <t>["MON", "THU"]</t>
  </si>
  <si>
    <t>SWARNA J RAJ</t>
  </si>
  <si>
    <t>ADI</t>
  </si>
  <si>
    <t>ADI SJ RAJDH</t>
  </si>
  <si>
    <t>BANGALORE RA</t>
  </si>
  <si>
    <t>SBC</t>
  </si>
  <si>
    <t>BBS-NDLS RAJ</t>
  </si>
  <si>
    <t>BBS</t>
  </si>
  <si>
    <t>NDLS-BBS RAJ</t>
  </si>
  <si>
    <t>BPL - NDLS S</t>
  </si>
  <si>
    <t>HBJ</t>
  </si>
  <si>
    <t>NDLS - BPL S</t>
  </si>
  <si>
    <t>LKO-NDLS SHA</t>
  </si>
  <si>
    <t>LJN</t>
  </si>
  <si>
    <t>NDLS-LKO SHA</t>
  </si>
  <si>
    <t>SHATABDI EXP</t>
  </si>
  <si>
    <t>NDLS-ASR SHA</t>
  </si>
  <si>
    <t>ASR</t>
  </si>
  <si>
    <t>ASR-NDLS SHA</t>
  </si>
  <si>
    <t>NDLS-DDN SHA</t>
  </si>
  <si>
    <t>DDN</t>
  </si>
  <si>
    <t>DDN-NDLS SHA</t>
  </si>
  <si>
    <t>PUNE-SC SHAT</t>
  </si>
  <si>
    <t>SC-PUNE SHAT</t>
  </si>
  <si>
    <t>GHY-DBRG SHA</t>
  </si>
  <si>
    <t>GHY</t>
  </si>
  <si>
    <t>DBRG</t>
  </si>
  <si>
    <t>DBRG-GHY SHA</t>
  </si>
  <si>
    <t>MAS-MYS SHAT</t>
  </si>
  <si>
    <t>MYS</t>
  </si>
  <si>
    <t>MYS-MAS SHAT</t>
  </si>
  <si>
    <t>MAS-SBC SHAT</t>
  </si>
  <si>
    <t>SBC-MAS SHAT</t>
  </si>
  <si>
    <t>LTT-SC AC DU</t>
  </si>
  <si>
    <t>SC-LTT AC DU</t>
  </si>
  <si>
    <t>["MON", "TUE", "WED", "FRI", "SAT", "SUN"]</t>
  </si>
  <si>
    <t>NDLS-JAT RAJ</t>
  </si>
  <si>
    <t>JAT</t>
  </si>
  <si>
    <t>JAT-NDLS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</si>
</sst>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soumy/Downloads/Trains_60.xlsx" TargetMode="External"/><Relationship Id="rId2" Type="http://schemas.openxmlformats.org/officeDocument/2006/relationships/externalLinkPath" Target="file:///C:\Users\soumy\Downloads\Trains_60.xlsx" TargetMode="External"/><Relationship Id="rId1" Type="http://schemas.openxmlformats.org/officeDocument/2006/relationships/externalLinkPath" Target="/Users/soumy/Downloads/Trains_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ins_60"/>
      <sheetName val="Routes_of_60"/>
      <sheetName val="final_routes_of_60"/>
      <sheetName val="stations_60"/>
    </sheetNames>
    <sheetDataSet>
      <sheetData sheetId="0"/>
      <sheetData sheetId="1"/>
      <sheetData sheetId="2"/>
      <sheetData sheetId="3">
        <row r="1">
          <cell r="A1" t="str">
            <v>stationId</v>
          </cell>
          <cell r="B1" t="str">
            <v>stationCode</v>
          </cell>
        </row>
        <row r="2">
          <cell r="A2">
            <v>1</v>
          </cell>
          <cell r="B2" t="str">
            <v>HBJ</v>
          </cell>
        </row>
        <row r="3">
          <cell r="A3">
            <v>2</v>
          </cell>
          <cell r="B3" t="str">
            <v>BPL</v>
          </cell>
        </row>
        <row r="4">
          <cell r="A4">
            <v>3</v>
          </cell>
          <cell r="B4" t="str">
            <v>LAR</v>
          </cell>
        </row>
        <row r="5">
          <cell r="A5">
            <v>4</v>
          </cell>
          <cell r="B5" t="str">
            <v>JHS</v>
          </cell>
        </row>
        <row r="6">
          <cell r="A6">
            <v>5</v>
          </cell>
          <cell r="B6" t="str">
            <v>GWL</v>
          </cell>
        </row>
        <row r="7">
          <cell r="A7">
            <v>6</v>
          </cell>
          <cell r="B7" t="str">
            <v>MRA</v>
          </cell>
        </row>
        <row r="8">
          <cell r="A8">
            <v>7</v>
          </cell>
          <cell r="B8" t="str">
            <v>DHO</v>
          </cell>
        </row>
        <row r="9">
          <cell r="A9">
            <v>8</v>
          </cell>
          <cell r="B9" t="str">
            <v>AGC</v>
          </cell>
        </row>
        <row r="10">
          <cell r="A10">
            <v>9</v>
          </cell>
          <cell r="B10" t="str">
            <v>MTJ</v>
          </cell>
        </row>
        <row r="11">
          <cell r="A11">
            <v>10</v>
          </cell>
          <cell r="B11" t="str">
            <v>NDLS</v>
          </cell>
        </row>
        <row r="12">
          <cell r="A12">
            <v>11</v>
          </cell>
          <cell r="B12" t="str">
            <v>LJN</v>
          </cell>
        </row>
        <row r="13">
          <cell r="A13">
            <v>12</v>
          </cell>
          <cell r="B13" t="str">
            <v>CNB</v>
          </cell>
        </row>
        <row r="14">
          <cell r="A14">
            <v>13</v>
          </cell>
          <cell r="B14" t="str">
            <v>ETW</v>
          </cell>
        </row>
        <row r="15">
          <cell r="A15">
            <v>14</v>
          </cell>
          <cell r="B15" t="str">
            <v>TDL</v>
          </cell>
        </row>
        <row r="16">
          <cell r="A16">
            <v>15</v>
          </cell>
          <cell r="B16" t="str">
            <v>ALJN</v>
          </cell>
        </row>
        <row r="17">
          <cell r="A17">
            <v>16</v>
          </cell>
          <cell r="B17" t="str">
            <v>GZB</v>
          </cell>
        </row>
        <row r="18">
          <cell r="A18">
            <v>17</v>
          </cell>
          <cell r="B18" t="str">
            <v>MAS</v>
          </cell>
        </row>
        <row r="19">
          <cell r="A19">
            <v>18</v>
          </cell>
          <cell r="B19" t="str">
            <v>KPD</v>
          </cell>
        </row>
        <row r="20">
          <cell r="A20">
            <v>19</v>
          </cell>
          <cell r="B20" t="str">
            <v>SBC</v>
          </cell>
        </row>
        <row r="21">
          <cell r="A21">
            <v>20</v>
          </cell>
          <cell r="B21" t="str">
            <v>MYS</v>
          </cell>
        </row>
        <row r="22">
          <cell r="A22">
            <v>21</v>
          </cell>
          <cell r="B22" t="str">
            <v>BCT</v>
          </cell>
        </row>
        <row r="23">
          <cell r="A23">
            <v>22</v>
          </cell>
          <cell r="B23" t="str">
            <v>BVI</v>
          </cell>
        </row>
        <row r="24">
          <cell r="A24">
            <v>23</v>
          </cell>
          <cell r="B24" t="str">
            <v>VAPI</v>
          </cell>
        </row>
        <row r="25">
          <cell r="A25">
            <v>24</v>
          </cell>
          <cell r="B25" t="str">
            <v>ST</v>
          </cell>
        </row>
        <row r="26">
          <cell r="A26">
            <v>25</v>
          </cell>
          <cell r="B26" t="str">
            <v>BH</v>
          </cell>
        </row>
        <row r="27">
          <cell r="A27">
            <v>26</v>
          </cell>
          <cell r="B27" t="str">
            <v>BRC</v>
          </cell>
        </row>
        <row r="28">
          <cell r="A28">
            <v>27</v>
          </cell>
          <cell r="B28" t="str">
            <v>ANND</v>
          </cell>
        </row>
        <row r="29">
          <cell r="A29">
            <v>28</v>
          </cell>
          <cell r="B29" t="str">
            <v>ND</v>
          </cell>
        </row>
        <row r="30">
          <cell r="A30">
            <v>29</v>
          </cell>
          <cell r="B30" t="str">
            <v>ADI</v>
          </cell>
        </row>
        <row r="31">
          <cell r="A31">
            <v>30</v>
          </cell>
          <cell r="B31" t="str">
            <v>UMB</v>
          </cell>
        </row>
        <row r="32">
          <cell r="A32">
            <v>31</v>
          </cell>
          <cell r="B32" t="str">
            <v>SIR</v>
          </cell>
        </row>
        <row r="33">
          <cell r="A33">
            <v>32</v>
          </cell>
          <cell r="B33" t="str">
            <v>LDH</v>
          </cell>
        </row>
        <row r="34">
          <cell r="A34">
            <v>33</v>
          </cell>
          <cell r="B34" t="str">
            <v>PGW</v>
          </cell>
        </row>
        <row r="35">
          <cell r="A35">
            <v>34</v>
          </cell>
          <cell r="B35" t="str">
            <v>JUC</v>
          </cell>
        </row>
        <row r="36">
          <cell r="A36">
            <v>35</v>
          </cell>
          <cell r="B36" t="str">
            <v>BEAS</v>
          </cell>
        </row>
        <row r="37">
          <cell r="A37">
            <v>36</v>
          </cell>
          <cell r="B37" t="str">
            <v>ASR</v>
          </cell>
        </row>
        <row r="38">
          <cell r="A38">
            <v>37</v>
          </cell>
          <cell r="B38" t="str">
            <v>MTC</v>
          </cell>
        </row>
        <row r="39">
          <cell r="A39">
            <v>38</v>
          </cell>
          <cell r="B39" t="str">
            <v>MOZ</v>
          </cell>
        </row>
        <row r="40">
          <cell r="A40">
            <v>39</v>
          </cell>
          <cell r="B40" t="str">
            <v>SRE</v>
          </cell>
        </row>
        <row r="41">
          <cell r="A41">
            <v>40</v>
          </cell>
          <cell r="B41" t="str">
            <v>RK</v>
          </cell>
        </row>
        <row r="42">
          <cell r="A42">
            <v>41</v>
          </cell>
          <cell r="B42" t="str">
            <v>HW</v>
          </cell>
        </row>
        <row r="43">
          <cell r="A43">
            <v>42</v>
          </cell>
          <cell r="B43" t="str">
            <v>DDN</v>
          </cell>
        </row>
        <row r="44">
          <cell r="A44">
            <v>43</v>
          </cell>
          <cell r="B44" t="str">
            <v>PUNE</v>
          </cell>
        </row>
        <row r="45">
          <cell r="A45">
            <v>44</v>
          </cell>
          <cell r="B45" t="str">
            <v>SUR</v>
          </cell>
        </row>
        <row r="46">
          <cell r="A46">
            <v>45</v>
          </cell>
          <cell r="B46" t="str">
            <v>GR</v>
          </cell>
        </row>
        <row r="47">
          <cell r="A47">
            <v>46</v>
          </cell>
          <cell r="B47" t="str">
            <v>WADI</v>
          </cell>
        </row>
        <row r="48">
          <cell r="A48">
            <v>47</v>
          </cell>
          <cell r="B48" t="str">
            <v>TDU</v>
          </cell>
        </row>
        <row r="49">
          <cell r="A49">
            <v>48</v>
          </cell>
          <cell r="B49" t="str">
            <v>VKB</v>
          </cell>
        </row>
        <row r="50">
          <cell r="A50">
            <v>49</v>
          </cell>
          <cell r="B50" t="str">
            <v>BMT</v>
          </cell>
        </row>
        <row r="51">
          <cell r="A51">
            <v>50</v>
          </cell>
          <cell r="B51" t="str">
            <v>SC</v>
          </cell>
        </row>
        <row r="52">
          <cell r="A52">
            <v>51</v>
          </cell>
          <cell r="B52" t="str">
            <v>BNC</v>
          </cell>
        </row>
        <row r="53">
          <cell r="A53">
            <v>52</v>
          </cell>
          <cell r="B53" t="str">
            <v>GHY</v>
          </cell>
        </row>
        <row r="54">
          <cell r="A54">
            <v>53</v>
          </cell>
          <cell r="B54" t="str">
            <v>CPK</v>
          </cell>
        </row>
        <row r="55">
          <cell r="A55">
            <v>54</v>
          </cell>
          <cell r="B55" t="str">
            <v>LMG</v>
          </cell>
        </row>
        <row r="56">
          <cell r="A56">
            <v>55</v>
          </cell>
          <cell r="B56" t="str">
            <v>DPU</v>
          </cell>
        </row>
        <row r="57">
          <cell r="A57">
            <v>56</v>
          </cell>
          <cell r="B57" t="str">
            <v>DMV</v>
          </cell>
        </row>
        <row r="58">
          <cell r="A58">
            <v>57</v>
          </cell>
          <cell r="B58" t="str">
            <v>FKG</v>
          </cell>
        </row>
        <row r="59">
          <cell r="A59">
            <v>58</v>
          </cell>
          <cell r="B59" t="str">
            <v>MXN</v>
          </cell>
        </row>
        <row r="60">
          <cell r="A60">
            <v>59</v>
          </cell>
          <cell r="B60" t="str">
            <v>SRTN</v>
          </cell>
        </row>
        <row r="61">
          <cell r="A61">
            <v>60</v>
          </cell>
          <cell r="B61" t="str">
            <v>MRHT</v>
          </cell>
        </row>
        <row r="62">
          <cell r="A62">
            <v>61</v>
          </cell>
          <cell r="B62" t="str">
            <v>DBRG</v>
          </cell>
        </row>
        <row r="63">
          <cell r="A63">
            <v>62</v>
          </cell>
          <cell r="B63" t="str">
            <v>LTT</v>
          </cell>
        </row>
        <row r="64">
          <cell r="A64">
            <v>63</v>
          </cell>
          <cell r="B64" t="str">
            <v>DD</v>
          </cell>
        </row>
        <row r="65">
          <cell r="A65">
            <v>64</v>
          </cell>
          <cell r="B65" t="str">
            <v>MMR</v>
          </cell>
        </row>
        <row r="66">
          <cell r="A66">
            <v>65</v>
          </cell>
          <cell r="B66" t="str">
            <v>BSL</v>
          </cell>
        </row>
        <row r="67">
          <cell r="A67">
            <v>66</v>
          </cell>
          <cell r="B67" t="str">
            <v>NGP</v>
          </cell>
        </row>
        <row r="68">
          <cell r="A68">
            <v>67</v>
          </cell>
          <cell r="B68" t="str">
            <v>BSP</v>
          </cell>
        </row>
        <row r="69">
          <cell r="A69">
            <v>68</v>
          </cell>
          <cell r="B69" t="str">
            <v>TATA</v>
          </cell>
        </row>
        <row r="70">
          <cell r="A70">
            <v>69</v>
          </cell>
          <cell r="B70" t="str">
            <v>HWH</v>
          </cell>
        </row>
        <row r="71">
          <cell r="A71">
            <v>70</v>
          </cell>
          <cell r="B71" t="str">
            <v>RN</v>
          </cell>
        </row>
        <row r="72">
          <cell r="A72">
            <v>71</v>
          </cell>
          <cell r="B72" t="str">
            <v>MAO</v>
          </cell>
        </row>
        <row r="73">
          <cell r="A73">
            <v>72</v>
          </cell>
          <cell r="B73" t="str">
            <v>MAJN</v>
          </cell>
        </row>
        <row r="74">
          <cell r="A74">
            <v>73</v>
          </cell>
          <cell r="B74" t="str">
            <v>CLT</v>
          </cell>
        </row>
        <row r="75">
          <cell r="A75">
            <v>74</v>
          </cell>
          <cell r="B75" t="str">
            <v>ERS</v>
          </cell>
        </row>
        <row r="76">
          <cell r="A76">
            <v>75</v>
          </cell>
          <cell r="B76" t="str">
            <v>BBS</v>
          </cell>
        </row>
        <row r="77">
          <cell r="A77">
            <v>76</v>
          </cell>
          <cell r="B77" t="str">
            <v>VZM</v>
          </cell>
        </row>
        <row r="78">
          <cell r="A78">
            <v>77</v>
          </cell>
          <cell r="B78" t="str">
            <v>BZA</v>
          </cell>
        </row>
        <row r="79">
          <cell r="A79">
            <v>78</v>
          </cell>
          <cell r="B79" t="str">
            <v>RU</v>
          </cell>
        </row>
        <row r="80">
          <cell r="A80">
            <v>79</v>
          </cell>
          <cell r="B80" t="str">
            <v>YPR</v>
          </cell>
        </row>
        <row r="81">
          <cell r="A81">
            <v>80</v>
          </cell>
          <cell r="B81" t="str">
            <v>CSMT</v>
          </cell>
        </row>
        <row r="82">
          <cell r="A82">
            <v>81</v>
          </cell>
          <cell r="B82" t="str">
            <v>IGP</v>
          </cell>
        </row>
        <row r="83">
          <cell r="A83">
            <v>82</v>
          </cell>
          <cell r="B83" t="str">
            <v>BPQ</v>
          </cell>
        </row>
        <row r="84">
          <cell r="A84">
            <v>83</v>
          </cell>
          <cell r="B84" t="str">
            <v>NZM</v>
          </cell>
        </row>
        <row r="85">
          <cell r="A85">
            <v>84</v>
          </cell>
          <cell r="B85" t="str">
            <v>DHN</v>
          </cell>
        </row>
        <row r="86">
          <cell r="A86">
            <v>85</v>
          </cell>
          <cell r="B86" t="str">
            <v>PNME</v>
          </cell>
        </row>
        <row r="87">
          <cell r="A87">
            <v>86</v>
          </cell>
          <cell r="B87" t="str">
            <v>GAYA</v>
          </cell>
        </row>
        <row r="88">
          <cell r="A88">
            <v>87</v>
          </cell>
          <cell r="B88" t="str">
            <v>MGS</v>
          </cell>
        </row>
        <row r="89">
          <cell r="A89">
            <v>88</v>
          </cell>
          <cell r="B89" t="str">
            <v>ALD</v>
          </cell>
        </row>
        <row r="90">
          <cell r="A90">
            <v>89</v>
          </cell>
          <cell r="B90" t="str">
            <v>RJPB</v>
          </cell>
        </row>
        <row r="91">
          <cell r="A91">
            <v>90</v>
          </cell>
          <cell r="B91" t="str">
            <v>PNBE</v>
          </cell>
        </row>
        <row r="92">
          <cell r="A92">
            <v>91</v>
          </cell>
          <cell r="B92" t="str">
            <v>SDAH</v>
          </cell>
        </row>
        <row r="93">
          <cell r="A93">
            <v>92</v>
          </cell>
          <cell r="B93" t="str">
            <v>DGR</v>
          </cell>
        </row>
        <row r="94">
          <cell r="A94">
            <v>93</v>
          </cell>
          <cell r="B94" t="str">
            <v>ASN</v>
          </cell>
        </row>
        <row r="95">
          <cell r="A95">
            <v>94</v>
          </cell>
          <cell r="B95" t="str">
            <v>DBRT</v>
          </cell>
        </row>
        <row r="96">
          <cell r="A96">
            <v>95</v>
          </cell>
          <cell r="B96" t="str">
            <v>NTSK</v>
          </cell>
        </row>
        <row r="97">
          <cell r="A97">
            <v>96</v>
          </cell>
          <cell r="B97" t="str">
            <v>NBQ</v>
          </cell>
        </row>
        <row r="98">
          <cell r="A98">
            <v>97</v>
          </cell>
          <cell r="B98" t="str">
            <v>KOJ</v>
          </cell>
        </row>
        <row r="99">
          <cell r="A99">
            <v>98</v>
          </cell>
          <cell r="B99" t="str">
            <v>NCB</v>
          </cell>
        </row>
        <row r="100">
          <cell r="A100">
            <v>99</v>
          </cell>
          <cell r="B100" t="str">
            <v>NJP</v>
          </cell>
        </row>
        <row r="101">
          <cell r="A101">
            <v>100</v>
          </cell>
          <cell r="B101" t="str">
            <v>KNE</v>
          </cell>
        </row>
        <row r="102">
          <cell r="A102">
            <v>101</v>
          </cell>
          <cell r="B102" t="str">
            <v>KIR</v>
          </cell>
        </row>
        <row r="103">
          <cell r="A103">
            <v>102</v>
          </cell>
          <cell r="B103" t="str">
            <v>NNA</v>
          </cell>
        </row>
        <row r="104">
          <cell r="A104">
            <v>103</v>
          </cell>
          <cell r="B104" t="str">
            <v>BJU</v>
          </cell>
        </row>
        <row r="105">
          <cell r="A105">
            <v>104</v>
          </cell>
          <cell r="B105" t="str">
            <v>PPTA</v>
          </cell>
        </row>
        <row r="106">
          <cell r="A106">
            <v>105</v>
          </cell>
          <cell r="B106" t="str">
            <v>DNR</v>
          </cell>
        </row>
        <row r="107">
          <cell r="A107">
            <v>106</v>
          </cell>
          <cell r="B107" t="str">
            <v>PTKC</v>
          </cell>
        </row>
        <row r="108">
          <cell r="A108">
            <v>107</v>
          </cell>
          <cell r="B108" t="str">
            <v>KTHU</v>
          </cell>
        </row>
        <row r="109">
          <cell r="A109">
            <v>108</v>
          </cell>
          <cell r="B109" t="str">
            <v>JAT</v>
          </cell>
        </row>
        <row r="110">
          <cell r="A110">
            <v>109</v>
          </cell>
          <cell r="B110" t="str">
            <v>TVC</v>
          </cell>
        </row>
        <row r="111">
          <cell r="A111">
            <v>110</v>
          </cell>
          <cell r="B111" t="str">
            <v>QLN</v>
          </cell>
        </row>
        <row r="112">
          <cell r="A112">
            <v>111</v>
          </cell>
          <cell r="B112" t="str">
            <v>ALLP</v>
          </cell>
        </row>
        <row r="113">
          <cell r="A113">
            <v>112</v>
          </cell>
          <cell r="B113" t="str">
            <v>TCR</v>
          </cell>
        </row>
        <row r="114">
          <cell r="A114">
            <v>113</v>
          </cell>
          <cell r="B114" t="str">
            <v>SRR</v>
          </cell>
        </row>
        <row r="115">
          <cell r="A115">
            <v>114</v>
          </cell>
          <cell r="B115" t="str">
            <v>CAN</v>
          </cell>
        </row>
        <row r="116">
          <cell r="A116">
            <v>115</v>
          </cell>
          <cell r="B116" t="str">
            <v>UD</v>
          </cell>
        </row>
        <row r="117">
          <cell r="A117">
            <v>116</v>
          </cell>
          <cell r="B117" t="str">
            <v>KAWR</v>
          </cell>
        </row>
        <row r="118">
          <cell r="A118">
            <v>117</v>
          </cell>
          <cell r="B118" t="str">
            <v>SWV</v>
          </cell>
        </row>
        <row r="119">
          <cell r="A119">
            <v>118</v>
          </cell>
          <cell r="B119" t="str">
            <v>PNVL</v>
          </cell>
        </row>
        <row r="120">
          <cell r="A120">
            <v>119</v>
          </cell>
          <cell r="B120" t="str">
            <v>BSR</v>
          </cell>
        </row>
        <row r="121">
          <cell r="A121">
            <v>120</v>
          </cell>
          <cell r="B121" t="str">
            <v>KOTA</v>
          </cell>
        </row>
        <row r="122">
          <cell r="A122">
            <v>121</v>
          </cell>
          <cell r="B122" t="str">
            <v>WL</v>
          </cell>
        </row>
        <row r="123">
          <cell r="A123">
            <v>122</v>
          </cell>
          <cell r="B123" t="str">
            <v>KZJ</v>
          </cell>
        </row>
        <row r="124">
          <cell r="A124">
            <v>123</v>
          </cell>
          <cell r="B124" t="str">
            <v>R</v>
          </cell>
        </row>
        <row r="125">
          <cell r="A125">
            <v>124</v>
          </cell>
          <cell r="B125" t="str">
            <v>DURG</v>
          </cell>
        </row>
        <row r="126">
          <cell r="A126">
            <v>125</v>
          </cell>
          <cell r="B126" t="str">
            <v>RJN</v>
          </cell>
        </row>
        <row r="127">
          <cell r="A127">
            <v>126</v>
          </cell>
          <cell r="B127" t="str">
            <v>G</v>
          </cell>
        </row>
        <row r="128">
          <cell r="A128">
            <v>127</v>
          </cell>
          <cell r="B128" t="str">
            <v>RNC</v>
          </cell>
        </row>
        <row r="129">
          <cell r="A129">
            <v>128</v>
          </cell>
          <cell r="B129" t="str">
            <v>BRKA</v>
          </cell>
        </row>
        <row r="130">
          <cell r="A130">
            <v>129</v>
          </cell>
          <cell r="B130" t="str">
            <v>DTO</v>
          </cell>
        </row>
        <row r="131">
          <cell r="A131">
            <v>130</v>
          </cell>
          <cell r="B131" t="str">
            <v>GHD</v>
          </cell>
        </row>
        <row r="132">
          <cell r="A132">
            <v>131</v>
          </cell>
          <cell r="B132" t="str">
            <v>RTM</v>
          </cell>
        </row>
        <row r="133">
          <cell r="A133">
            <v>132</v>
          </cell>
          <cell r="B133" t="str">
            <v>NAD</v>
          </cell>
        </row>
        <row r="134">
          <cell r="A134">
            <v>133</v>
          </cell>
          <cell r="B134" t="str">
            <v>ADH</v>
          </cell>
        </row>
        <row r="135">
          <cell r="A135">
            <v>134</v>
          </cell>
          <cell r="B135" t="str">
            <v>BL</v>
          </cell>
        </row>
        <row r="136">
          <cell r="A136">
            <v>135</v>
          </cell>
          <cell r="B136" t="str">
            <v>SWM</v>
          </cell>
        </row>
        <row r="137">
          <cell r="A137">
            <v>136</v>
          </cell>
          <cell r="B137" t="str">
            <v>SBI</v>
          </cell>
        </row>
        <row r="138">
          <cell r="A138">
            <v>137</v>
          </cell>
          <cell r="B138" t="str">
            <v>MSH</v>
          </cell>
        </row>
        <row r="139">
          <cell r="A139">
            <v>138</v>
          </cell>
          <cell r="B139" t="str">
            <v>PNU</v>
          </cell>
        </row>
        <row r="140">
          <cell r="A140">
            <v>139</v>
          </cell>
          <cell r="B140" t="str">
            <v>ABR</v>
          </cell>
        </row>
        <row r="141">
          <cell r="A141">
            <v>140</v>
          </cell>
          <cell r="B141" t="str">
            <v>AII</v>
          </cell>
        </row>
        <row r="142">
          <cell r="A142">
            <v>141</v>
          </cell>
          <cell r="B142" t="str">
            <v>JP</v>
          </cell>
        </row>
        <row r="143">
          <cell r="A143">
            <v>142</v>
          </cell>
          <cell r="B143" t="str">
            <v>GGN</v>
          </cell>
        </row>
        <row r="144">
          <cell r="A144">
            <v>143</v>
          </cell>
          <cell r="B144" t="str">
            <v>DEC</v>
          </cell>
        </row>
        <row r="145">
          <cell r="A145">
            <v>144</v>
          </cell>
          <cell r="B145" t="str">
            <v>SSPN</v>
          </cell>
        </row>
        <row r="146">
          <cell r="A146">
            <v>145</v>
          </cell>
          <cell r="B146" t="str">
            <v>DMM</v>
          </cell>
        </row>
        <row r="147">
          <cell r="A147">
            <v>146</v>
          </cell>
          <cell r="B147" t="str">
            <v>ATP</v>
          </cell>
        </row>
        <row r="148">
          <cell r="A148">
            <v>147</v>
          </cell>
          <cell r="B148" t="str">
            <v>GTL</v>
          </cell>
        </row>
        <row r="149">
          <cell r="A149">
            <v>148</v>
          </cell>
          <cell r="B149" t="str">
            <v>RC</v>
          </cell>
        </row>
        <row r="150">
          <cell r="A150">
            <v>149</v>
          </cell>
          <cell r="B150" t="str">
            <v>SEM</v>
          </cell>
        </row>
        <row r="151">
          <cell r="A151">
            <v>150</v>
          </cell>
          <cell r="B151" t="str">
            <v>CTC</v>
          </cell>
        </row>
        <row r="152">
          <cell r="A152">
            <v>151</v>
          </cell>
          <cell r="B152" t="str">
            <v>JJKR</v>
          </cell>
        </row>
        <row r="153">
          <cell r="A153">
            <v>152</v>
          </cell>
          <cell r="B153" t="str">
            <v>BHC</v>
          </cell>
        </row>
        <row r="154">
          <cell r="A154">
            <v>153</v>
          </cell>
          <cell r="B154" t="str">
            <v>BLS</v>
          </cell>
        </row>
        <row r="155">
          <cell r="A155">
            <v>154</v>
          </cell>
          <cell r="B155" t="str">
            <v>KGP</v>
          </cell>
        </row>
        <row r="156">
          <cell r="A156">
            <v>155</v>
          </cell>
          <cell r="B156" t="str">
            <v>BQA</v>
          </cell>
        </row>
        <row r="157">
          <cell r="A157">
            <v>156</v>
          </cell>
          <cell r="B157" t="str">
            <v>ADRA</v>
          </cell>
        </row>
        <row r="158">
          <cell r="A158">
            <v>157</v>
          </cell>
          <cell r="B158" t="str">
            <v>GMO</v>
          </cell>
        </row>
        <row r="159">
          <cell r="A159">
            <v>158</v>
          </cell>
          <cell r="B159" t="str">
            <v>KQR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DE76-9C09-462A-B779-EE65B0B2C135}">
  <dimension ref="A1:J61"/>
  <sheetViews>
    <sheetView tabSelected="1" topLeftCell="A37" workbookViewId="0">
      <selection activeCell="O3" sqref="O3"/>
    </sheetView>
  </sheetViews>
  <sheetFormatPr defaultRowHeight="14.4" x14ac:dyDescent="0.3"/>
  <cols>
    <col min="1" max="1" width="6.109375" bestFit="1" customWidth="1"/>
    <col min="2" max="2" width="11.21875" bestFit="1" customWidth="1"/>
    <col min="3" max="3" width="14.6640625" bestFit="1" customWidth="1"/>
    <col min="4" max="4" width="9.44140625" bestFit="1" customWidth="1"/>
    <col min="5" max="5" width="13.6640625" bestFit="1" customWidth="1"/>
    <col min="6" max="6" width="17.21875" bestFit="1" customWidth="1"/>
    <col min="7" max="7" width="17" bestFit="1" customWidth="1"/>
    <col min="8" max="8" width="20.5546875" bestFit="1" customWidth="1"/>
    <col min="9" max="9" width="41.21875" bestFit="1" customWidth="1"/>
    <col min="10" max="10" width="6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</row>
    <row r="2" spans="1:10" x14ac:dyDescent="0.3">
      <c r="A2">
        <f>ROW() + 99</f>
        <v>101</v>
      </c>
      <c r="B2">
        <v>12221</v>
      </c>
      <c r="C2" t="s">
        <v>10</v>
      </c>
      <c r="D2" t="str">
        <f t="shared" ref="D2:D33" si="0">IF(ISNUMBER(SEARCH("RAJ", C2)), "RAJDHANI", IF(ISNUMBER(SEARCH("SHAT", C2)), "SHATABDI", IF(ISNUMBER(SEARCH("DUR", C2)), "DURONTO", "EXPRESS")))</f>
        <v>DURONTO</v>
      </c>
      <c r="E2">
        <f>INDEX([1]stations_60!A:A, MATCH(TRIM(F2), [1]stations_60!B:B, 0))</f>
        <v>43</v>
      </c>
      <c r="F2" t="s">
        <v>11</v>
      </c>
      <c r="G2">
        <f>INDEX([1]stations_60!A:A, MATCH(TRIM(H2), [1]stations_60!B:B, 0))</f>
        <v>69</v>
      </c>
      <c r="H2" t="s">
        <v>12</v>
      </c>
      <c r="I2" t="s">
        <v>13</v>
      </c>
      <c r="J2" t="s">
        <v>14</v>
      </c>
    </row>
    <row r="3" spans="1:10" x14ac:dyDescent="0.3">
      <c r="A3">
        <f t="shared" ref="A3:A61" si="1">ROW() + 99</f>
        <v>102</v>
      </c>
      <c r="B3">
        <v>12222</v>
      </c>
      <c r="C3" t="s">
        <v>15</v>
      </c>
      <c r="D3" t="str">
        <f t="shared" si="0"/>
        <v>DURONTO</v>
      </c>
      <c r="E3">
        <f>INDEX([1]stations_60!A:A, MATCH(TRIM(F3), [1]stations_60!B:B, 0))</f>
        <v>69</v>
      </c>
      <c r="F3" t="s">
        <v>12</v>
      </c>
      <c r="G3">
        <f>INDEX([1]stations_60!A:A, MATCH(TRIM(H3), [1]stations_60!B:B, 0))</f>
        <v>43</v>
      </c>
      <c r="H3" t="s">
        <v>11</v>
      </c>
      <c r="I3" t="s">
        <v>13</v>
      </c>
      <c r="J3" t="s">
        <v>14</v>
      </c>
    </row>
    <row r="4" spans="1:10" x14ac:dyDescent="0.3">
      <c r="A4">
        <f t="shared" si="1"/>
        <v>103</v>
      </c>
      <c r="B4">
        <v>12223</v>
      </c>
      <c r="C4" t="s">
        <v>16</v>
      </c>
      <c r="D4" t="str">
        <f t="shared" si="0"/>
        <v>DURONTO</v>
      </c>
      <c r="E4">
        <f>INDEX([1]stations_60!A:A, MATCH(TRIM(F4), [1]stations_60!B:B, 0))</f>
        <v>62</v>
      </c>
      <c r="F4" t="s">
        <v>17</v>
      </c>
      <c r="G4">
        <f>INDEX([1]stations_60!A:A, MATCH(TRIM(H4), [1]stations_60!B:B, 0))</f>
        <v>74</v>
      </c>
      <c r="H4" t="s">
        <v>18</v>
      </c>
      <c r="I4" t="s">
        <v>13</v>
      </c>
      <c r="J4" t="s">
        <v>14</v>
      </c>
    </row>
    <row r="5" spans="1:10" x14ac:dyDescent="0.3">
      <c r="A5">
        <f t="shared" si="1"/>
        <v>104</v>
      </c>
      <c r="B5">
        <v>12224</v>
      </c>
      <c r="C5" t="s">
        <v>19</v>
      </c>
      <c r="D5" t="str">
        <f t="shared" si="0"/>
        <v>DURONTO</v>
      </c>
      <c r="E5">
        <f>INDEX([1]stations_60!A:A, MATCH(TRIM(F5), [1]stations_60!B:B, 0))</f>
        <v>74</v>
      </c>
      <c r="F5" t="s">
        <v>18</v>
      </c>
      <c r="G5">
        <f>INDEX([1]stations_60!A:A, MATCH(TRIM(H5), [1]stations_60!B:B, 0))</f>
        <v>62</v>
      </c>
      <c r="H5" t="s">
        <v>17</v>
      </c>
      <c r="I5" t="s">
        <v>20</v>
      </c>
      <c r="J5" t="s">
        <v>14</v>
      </c>
    </row>
    <row r="6" spans="1:10" x14ac:dyDescent="0.3">
      <c r="A6">
        <f t="shared" si="1"/>
        <v>105</v>
      </c>
      <c r="B6">
        <v>12245</v>
      </c>
      <c r="C6" t="s">
        <v>21</v>
      </c>
      <c r="D6" t="str">
        <f t="shared" si="0"/>
        <v>EXPRESS</v>
      </c>
      <c r="E6">
        <f>INDEX([1]stations_60!A:A, MATCH(TRIM(F6), [1]stations_60!B:B, 0))</f>
        <v>69</v>
      </c>
      <c r="F6" t="s">
        <v>12</v>
      </c>
      <c r="G6">
        <f>INDEX([1]stations_60!A:A, MATCH(TRIM(H6), [1]stations_60!B:B, 0))</f>
        <v>79</v>
      </c>
      <c r="H6" t="s">
        <v>22</v>
      </c>
      <c r="I6" t="s">
        <v>13</v>
      </c>
      <c r="J6" t="s">
        <v>14</v>
      </c>
    </row>
    <row r="7" spans="1:10" x14ac:dyDescent="0.3">
      <c r="A7">
        <f t="shared" si="1"/>
        <v>106</v>
      </c>
      <c r="B7">
        <v>12246</v>
      </c>
      <c r="C7" t="s">
        <v>23</v>
      </c>
      <c r="D7" t="str">
        <f t="shared" si="0"/>
        <v>EXPRESS</v>
      </c>
      <c r="E7">
        <f>INDEX([1]stations_60!A:A, MATCH(TRIM(F7), [1]stations_60!B:B, 0))</f>
        <v>79</v>
      </c>
      <c r="F7" t="s">
        <v>22</v>
      </c>
      <c r="G7">
        <f>INDEX([1]stations_60!A:A, MATCH(TRIM(H7), [1]stations_60!B:B, 0))</f>
        <v>69</v>
      </c>
      <c r="H7" t="s">
        <v>12</v>
      </c>
      <c r="I7" t="s">
        <v>13</v>
      </c>
      <c r="J7" t="s">
        <v>14</v>
      </c>
    </row>
    <row r="8" spans="1:10" x14ac:dyDescent="0.3">
      <c r="A8">
        <f t="shared" si="1"/>
        <v>107</v>
      </c>
      <c r="B8">
        <v>12261</v>
      </c>
      <c r="C8" t="s">
        <v>24</v>
      </c>
      <c r="D8" t="str">
        <f t="shared" si="0"/>
        <v>DURONTO</v>
      </c>
      <c r="E8">
        <f>INDEX([1]stations_60!A:A, MATCH(TRIM(F8), [1]stations_60!B:B, 0))</f>
        <v>80</v>
      </c>
      <c r="F8" t="s">
        <v>25</v>
      </c>
      <c r="G8">
        <f>INDEX([1]stations_60!A:A, MATCH(TRIM(H8), [1]stations_60!B:B, 0))</f>
        <v>69</v>
      </c>
      <c r="H8" t="s">
        <v>12</v>
      </c>
      <c r="I8" t="s">
        <v>26</v>
      </c>
      <c r="J8" t="s">
        <v>14</v>
      </c>
    </row>
    <row r="9" spans="1:10" x14ac:dyDescent="0.3">
      <c r="A9">
        <f t="shared" si="1"/>
        <v>108</v>
      </c>
      <c r="B9">
        <v>12262</v>
      </c>
      <c r="C9" t="s">
        <v>27</v>
      </c>
      <c r="D9" t="str">
        <f t="shared" si="0"/>
        <v>DURONTO</v>
      </c>
      <c r="E9">
        <f>INDEX([1]stations_60!A:A, MATCH(TRIM(F9), [1]stations_60!B:B, 0))</f>
        <v>69</v>
      </c>
      <c r="F9" t="s">
        <v>12</v>
      </c>
      <c r="G9">
        <f>INDEX([1]stations_60!A:A, MATCH(TRIM(H9), [1]stations_60!B:B, 0))</f>
        <v>80</v>
      </c>
      <c r="H9" t="s">
        <v>25</v>
      </c>
      <c r="I9" t="s">
        <v>13</v>
      </c>
      <c r="J9" t="s">
        <v>14</v>
      </c>
    </row>
    <row r="10" spans="1:10" x14ac:dyDescent="0.3">
      <c r="A10">
        <f t="shared" si="1"/>
        <v>109</v>
      </c>
      <c r="B10">
        <v>12269</v>
      </c>
      <c r="C10" t="s">
        <v>28</v>
      </c>
      <c r="D10" t="str">
        <f t="shared" si="0"/>
        <v>DURONTO</v>
      </c>
      <c r="E10">
        <f>INDEX([1]stations_60!A:A, MATCH(TRIM(F10), [1]stations_60!B:B, 0))</f>
        <v>17</v>
      </c>
      <c r="F10" t="s">
        <v>29</v>
      </c>
      <c r="G10">
        <f>INDEX([1]stations_60!A:A, MATCH(TRIM(H10), [1]stations_60!B:B, 0))</f>
        <v>83</v>
      </c>
      <c r="H10" t="s">
        <v>30</v>
      </c>
      <c r="I10" t="s">
        <v>13</v>
      </c>
      <c r="J10" t="s">
        <v>14</v>
      </c>
    </row>
    <row r="11" spans="1:10" x14ac:dyDescent="0.3">
      <c r="A11">
        <f t="shared" si="1"/>
        <v>110</v>
      </c>
      <c r="B11">
        <v>12270</v>
      </c>
      <c r="C11" t="s">
        <v>31</v>
      </c>
      <c r="D11" t="str">
        <f t="shared" si="0"/>
        <v>DURONTO</v>
      </c>
      <c r="E11">
        <f>INDEX([1]stations_60!A:A, MATCH(TRIM(F11), [1]stations_60!B:B, 0))</f>
        <v>83</v>
      </c>
      <c r="F11" t="s">
        <v>30</v>
      </c>
      <c r="G11">
        <f>INDEX([1]stations_60!A:A, MATCH(TRIM(H11), [1]stations_60!B:B, 0))</f>
        <v>17</v>
      </c>
      <c r="H11" t="s">
        <v>29</v>
      </c>
      <c r="I11" t="s">
        <v>13</v>
      </c>
      <c r="J11" t="s">
        <v>14</v>
      </c>
    </row>
    <row r="12" spans="1:10" x14ac:dyDescent="0.3">
      <c r="A12">
        <f t="shared" si="1"/>
        <v>111</v>
      </c>
      <c r="B12">
        <v>12301</v>
      </c>
      <c r="C12" t="s">
        <v>32</v>
      </c>
      <c r="D12" t="str">
        <f t="shared" si="0"/>
        <v>RAJDHANI</v>
      </c>
      <c r="E12">
        <f>INDEX([1]stations_60!A:A, MATCH(TRIM(F12), [1]stations_60!B:B, 0))</f>
        <v>69</v>
      </c>
      <c r="F12" t="s">
        <v>12</v>
      </c>
      <c r="G12">
        <f>INDEX([1]stations_60!A:A, MATCH(TRIM(H12), [1]stations_60!B:B, 0))</f>
        <v>10</v>
      </c>
      <c r="H12" t="s">
        <v>33</v>
      </c>
      <c r="I12" t="s">
        <v>13</v>
      </c>
      <c r="J12" t="s">
        <v>14</v>
      </c>
    </row>
    <row r="13" spans="1:10" x14ac:dyDescent="0.3">
      <c r="A13">
        <f t="shared" si="1"/>
        <v>112</v>
      </c>
      <c r="B13">
        <v>12302</v>
      </c>
      <c r="C13" t="s">
        <v>32</v>
      </c>
      <c r="D13" t="str">
        <f t="shared" si="0"/>
        <v>RAJDHANI</v>
      </c>
      <c r="E13">
        <f>INDEX([1]stations_60!A:A, MATCH(TRIM(F13), [1]stations_60!B:B, 0))</f>
        <v>10</v>
      </c>
      <c r="F13" t="s">
        <v>33</v>
      </c>
      <c r="G13">
        <f>INDEX([1]stations_60!A:A, MATCH(TRIM(H13), [1]stations_60!B:B, 0))</f>
        <v>69</v>
      </c>
      <c r="H13" t="s">
        <v>12</v>
      </c>
      <c r="I13" t="s">
        <v>20</v>
      </c>
      <c r="J13" t="s">
        <v>14</v>
      </c>
    </row>
    <row r="14" spans="1:10" x14ac:dyDescent="0.3">
      <c r="A14">
        <f t="shared" si="1"/>
        <v>113</v>
      </c>
      <c r="B14">
        <v>12309</v>
      </c>
      <c r="C14" t="s">
        <v>34</v>
      </c>
      <c r="D14" t="str">
        <f t="shared" si="0"/>
        <v>RAJDHANI</v>
      </c>
      <c r="E14">
        <f>INDEX([1]stations_60!A:A, MATCH(TRIM(F14), [1]stations_60!B:B, 0))</f>
        <v>89</v>
      </c>
      <c r="F14" t="s">
        <v>35</v>
      </c>
      <c r="G14">
        <f>INDEX([1]stations_60!A:A, MATCH(TRIM(H14), [1]stations_60!B:B, 0))</f>
        <v>10</v>
      </c>
      <c r="H14" t="s">
        <v>33</v>
      </c>
      <c r="I14" t="s">
        <v>36</v>
      </c>
      <c r="J14" t="s">
        <v>14</v>
      </c>
    </row>
    <row r="15" spans="1:10" x14ac:dyDescent="0.3">
      <c r="A15">
        <f t="shared" si="1"/>
        <v>114</v>
      </c>
      <c r="B15">
        <v>12310</v>
      </c>
      <c r="C15" t="s">
        <v>34</v>
      </c>
      <c r="D15" t="str">
        <f t="shared" si="0"/>
        <v>RAJDHANI</v>
      </c>
      <c r="E15">
        <f>INDEX([1]stations_60!A:A, MATCH(TRIM(F15), [1]stations_60!B:B, 0))</f>
        <v>10</v>
      </c>
      <c r="F15" t="s">
        <v>33</v>
      </c>
      <c r="G15">
        <f>INDEX([1]stations_60!A:A, MATCH(TRIM(H15), [1]stations_60!B:B, 0))</f>
        <v>89</v>
      </c>
      <c r="H15" t="s">
        <v>35</v>
      </c>
      <c r="I15" t="s">
        <v>13</v>
      </c>
      <c r="J15" t="s">
        <v>14</v>
      </c>
    </row>
    <row r="16" spans="1:10" x14ac:dyDescent="0.3">
      <c r="A16">
        <f t="shared" si="1"/>
        <v>115</v>
      </c>
      <c r="B16">
        <v>12313</v>
      </c>
      <c r="C16" t="s">
        <v>37</v>
      </c>
      <c r="D16" t="str">
        <f t="shared" si="0"/>
        <v>RAJDHANI</v>
      </c>
      <c r="E16">
        <f>INDEX([1]stations_60!A:A, MATCH(TRIM(F16), [1]stations_60!B:B, 0))</f>
        <v>91</v>
      </c>
      <c r="F16" t="s">
        <v>38</v>
      </c>
      <c r="G16">
        <f>INDEX([1]stations_60!A:A, MATCH(TRIM(H16), [1]stations_60!B:B, 0))</f>
        <v>10</v>
      </c>
      <c r="H16" t="s">
        <v>33</v>
      </c>
      <c r="I16" t="s">
        <v>20</v>
      </c>
      <c r="J16" t="s">
        <v>14</v>
      </c>
    </row>
    <row r="17" spans="1:10" x14ac:dyDescent="0.3">
      <c r="A17">
        <f t="shared" si="1"/>
        <v>116</v>
      </c>
      <c r="B17">
        <v>12314</v>
      </c>
      <c r="C17" t="s">
        <v>37</v>
      </c>
      <c r="D17" t="str">
        <f t="shared" si="0"/>
        <v>RAJDHANI</v>
      </c>
      <c r="E17">
        <f>INDEX([1]stations_60!A:A, MATCH(TRIM(F17), [1]stations_60!B:B, 0))</f>
        <v>10</v>
      </c>
      <c r="F17" t="s">
        <v>33</v>
      </c>
      <c r="G17">
        <f>INDEX([1]stations_60!A:A, MATCH(TRIM(H17), [1]stations_60!B:B, 0))</f>
        <v>91</v>
      </c>
      <c r="H17" t="s">
        <v>38</v>
      </c>
      <c r="I17" t="s">
        <v>13</v>
      </c>
      <c r="J17" t="s">
        <v>14</v>
      </c>
    </row>
    <row r="18" spans="1:10" x14ac:dyDescent="0.3">
      <c r="A18">
        <f t="shared" si="1"/>
        <v>117</v>
      </c>
      <c r="B18">
        <v>12423</v>
      </c>
      <c r="C18" t="s">
        <v>39</v>
      </c>
      <c r="D18" t="str">
        <f t="shared" si="0"/>
        <v>EXPRESS</v>
      </c>
      <c r="E18">
        <f>INDEX([1]stations_60!A:A, MATCH(TRIM(F18), [1]stations_60!B:B, 0))</f>
        <v>94</v>
      </c>
      <c r="F18" t="s">
        <v>40</v>
      </c>
      <c r="G18">
        <f>INDEX([1]stations_60!A:A, MATCH(TRIM(H18), [1]stations_60!B:B, 0))</f>
        <v>10</v>
      </c>
      <c r="H18" t="s">
        <v>33</v>
      </c>
      <c r="I18" t="s">
        <v>41</v>
      </c>
      <c r="J18" t="s">
        <v>14</v>
      </c>
    </row>
    <row r="19" spans="1:10" x14ac:dyDescent="0.3">
      <c r="A19">
        <f t="shared" si="1"/>
        <v>118</v>
      </c>
      <c r="B19">
        <v>12424</v>
      </c>
      <c r="C19" t="s">
        <v>42</v>
      </c>
      <c r="D19" t="str">
        <f t="shared" si="0"/>
        <v>EXPRESS</v>
      </c>
      <c r="E19">
        <f>INDEX([1]stations_60!A:A, MATCH(TRIM(F19), [1]stations_60!B:B, 0))</f>
        <v>10</v>
      </c>
      <c r="F19" t="s">
        <v>33</v>
      </c>
      <c r="G19">
        <f>INDEX([1]stations_60!A:A, MATCH(TRIM(H19), [1]stations_60!B:B, 0))</f>
        <v>94</v>
      </c>
      <c r="H19" t="s">
        <v>40</v>
      </c>
      <c r="I19" t="s">
        <v>13</v>
      </c>
      <c r="J19" t="s">
        <v>14</v>
      </c>
    </row>
    <row r="20" spans="1:10" x14ac:dyDescent="0.3">
      <c r="A20">
        <f t="shared" si="1"/>
        <v>119</v>
      </c>
      <c r="B20">
        <v>12431</v>
      </c>
      <c r="C20" t="s">
        <v>43</v>
      </c>
      <c r="D20" t="str">
        <f t="shared" si="0"/>
        <v>RAJDHANI</v>
      </c>
      <c r="E20">
        <f>INDEX([1]stations_60!A:A, MATCH(TRIM(F20), [1]stations_60!B:B, 0))</f>
        <v>109</v>
      </c>
      <c r="F20" t="s">
        <v>44</v>
      </c>
      <c r="G20">
        <f>INDEX([1]stations_60!A:A, MATCH(TRIM(H20), [1]stations_60!B:B, 0))</f>
        <v>83</v>
      </c>
      <c r="H20" t="s">
        <v>30</v>
      </c>
      <c r="I20" t="s">
        <v>13</v>
      </c>
      <c r="J20" t="s">
        <v>14</v>
      </c>
    </row>
    <row r="21" spans="1:10" x14ac:dyDescent="0.3">
      <c r="A21">
        <f t="shared" si="1"/>
        <v>120</v>
      </c>
      <c r="B21">
        <v>12432</v>
      </c>
      <c r="C21" t="s">
        <v>45</v>
      </c>
      <c r="D21" t="str">
        <f t="shared" si="0"/>
        <v>RAJDHANI</v>
      </c>
      <c r="E21">
        <f>INDEX([1]stations_60!A:A, MATCH(TRIM(F21), [1]stations_60!B:B, 0))</f>
        <v>83</v>
      </c>
      <c r="F21" t="s">
        <v>30</v>
      </c>
      <c r="G21">
        <f>INDEX([1]stations_60!A:A, MATCH(TRIM(H21), [1]stations_60!B:B, 0))</f>
        <v>109</v>
      </c>
      <c r="H21" t="s">
        <v>44</v>
      </c>
      <c r="I21" t="s">
        <v>20</v>
      </c>
      <c r="J21" t="s">
        <v>14</v>
      </c>
    </row>
    <row r="22" spans="1:10" x14ac:dyDescent="0.3">
      <c r="A22">
        <f t="shared" si="1"/>
        <v>121</v>
      </c>
      <c r="B22">
        <v>12433</v>
      </c>
      <c r="C22" t="s">
        <v>46</v>
      </c>
      <c r="D22" t="str">
        <f t="shared" si="0"/>
        <v>RAJDHANI</v>
      </c>
      <c r="E22">
        <f>INDEX([1]stations_60!A:A, MATCH(TRIM(F22), [1]stations_60!B:B, 0))</f>
        <v>17</v>
      </c>
      <c r="F22" t="s">
        <v>29</v>
      </c>
      <c r="G22">
        <f>INDEX([1]stations_60!A:A, MATCH(TRIM(H22), [1]stations_60!B:B, 0))</f>
        <v>83</v>
      </c>
      <c r="H22" t="s">
        <v>30</v>
      </c>
      <c r="I22" t="s">
        <v>47</v>
      </c>
      <c r="J22" t="s">
        <v>14</v>
      </c>
    </row>
    <row r="23" spans="1:10" x14ac:dyDescent="0.3">
      <c r="A23">
        <f t="shared" si="1"/>
        <v>122</v>
      </c>
      <c r="B23">
        <v>12434</v>
      </c>
      <c r="C23" t="s">
        <v>48</v>
      </c>
      <c r="D23" t="str">
        <f t="shared" si="0"/>
        <v>RAJDHANI</v>
      </c>
      <c r="E23">
        <f>INDEX([1]stations_60!A:A, MATCH(TRIM(F23), [1]stations_60!B:B, 0))</f>
        <v>83</v>
      </c>
      <c r="F23" t="s">
        <v>30</v>
      </c>
      <c r="G23">
        <f>INDEX([1]stations_60!A:A, MATCH(TRIM(H23), [1]stations_60!B:B, 0))</f>
        <v>17</v>
      </c>
      <c r="H23" t="s">
        <v>29</v>
      </c>
      <c r="I23" t="s">
        <v>49</v>
      </c>
      <c r="J23" t="s">
        <v>14</v>
      </c>
    </row>
    <row r="24" spans="1:10" x14ac:dyDescent="0.3">
      <c r="A24">
        <f t="shared" si="1"/>
        <v>123</v>
      </c>
      <c r="B24">
        <v>12437</v>
      </c>
      <c r="C24" t="s">
        <v>50</v>
      </c>
      <c r="D24" t="str">
        <f t="shared" si="0"/>
        <v>RAJDHANI</v>
      </c>
      <c r="E24">
        <f>INDEX([1]stations_60!A:A, MATCH(TRIM(F24), [1]stations_60!B:B, 0))</f>
        <v>50</v>
      </c>
      <c r="F24" t="s">
        <v>51</v>
      </c>
      <c r="G24">
        <f>INDEX([1]stations_60!A:A, MATCH(TRIM(H24), [1]stations_60!B:B, 0))</f>
        <v>83</v>
      </c>
      <c r="H24" t="s">
        <v>30</v>
      </c>
      <c r="I24" t="s">
        <v>13</v>
      </c>
      <c r="J24" t="s">
        <v>14</v>
      </c>
    </row>
    <row r="25" spans="1:10" x14ac:dyDescent="0.3">
      <c r="A25">
        <f t="shared" si="1"/>
        <v>124</v>
      </c>
      <c r="B25">
        <v>12438</v>
      </c>
      <c r="C25" t="s">
        <v>52</v>
      </c>
      <c r="D25" t="str">
        <f t="shared" si="0"/>
        <v>RAJDHANI</v>
      </c>
      <c r="E25">
        <f>INDEX([1]stations_60!A:A, MATCH(TRIM(F25), [1]stations_60!B:B, 0))</f>
        <v>83</v>
      </c>
      <c r="F25" t="s">
        <v>30</v>
      </c>
      <c r="G25">
        <f>INDEX([1]stations_60!A:A, MATCH(TRIM(H25), [1]stations_60!B:B, 0))</f>
        <v>50</v>
      </c>
      <c r="H25" t="s">
        <v>51</v>
      </c>
      <c r="I25" t="s">
        <v>53</v>
      </c>
      <c r="J25" t="s">
        <v>14</v>
      </c>
    </row>
    <row r="26" spans="1:10" x14ac:dyDescent="0.3">
      <c r="A26">
        <f t="shared" si="1"/>
        <v>125</v>
      </c>
      <c r="B26">
        <v>12441</v>
      </c>
      <c r="C26" t="s">
        <v>54</v>
      </c>
      <c r="D26" t="str">
        <f t="shared" si="0"/>
        <v>EXPRESS</v>
      </c>
      <c r="E26">
        <f>INDEX([1]stations_60!A:A, MATCH(TRIM(F26), [1]stations_60!B:B, 0))</f>
        <v>67</v>
      </c>
      <c r="F26" t="s">
        <v>55</v>
      </c>
      <c r="G26">
        <f>INDEX([1]stations_60!A:A, MATCH(TRIM(H26), [1]stations_60!B:B, 0))</f>
        <v>10</v>
      </c>
      <c r="H26" t="s">
        <v>33</v>
      </c>
      <c r="I26" t="s">
        <v>13</v>
      </c>
      <c r="J26" t="s">
        <v>14</v>
      </c>
    </row>
    <row r="27" spans="1:10" x14ac:dyDescent="0.3">
      <c r="A27">
        <f t="shared" si="1"/>
        <v>126</v>
      </c>
      <c r="B27">
        <v>12442</v>
      </c>
      <c r="C27" t="s">
        <v>56</v>
      </c>
      <c r="D27" t="str">
        <f t="shared" si="0"/>
        <v>EXPRESS</v>
      </c>
      <c r="E27">
        <f>INDEX([1]stations_60!A:A, MATCH(TRIM(F27), [1]stations_60!B:B, 0))</f>
        <v>10</v>
      </c>
      <c r="F27" t="s">
        <v>33</v>
      </c>
      <c r="G27">
        <f>INDEX([1]stations_60!A:A, MATCH(TRIM(H27), [1]stations_60!B:B, 0))</f>
        <v>67</v>
      </c>
      <c r="H27" t="s">
        <v>55</v>
      </c>
      <c r="I27" t="s">
        <v>41</v>
      </c>
      <c r="J27" t="s">
        <v>14</v>
      </c>
    </row>
    <row r="28" spans="1:10" x14ac:dyDescent="0.3">
      <c r="A28">
        <f t="shared" si="1"/>
        <v>127</v>
      </c>
      <c r="B28">
        <v>12453</v>
      </c>
      <c r="C28" t="s">
        <v>57</v>
      </c>
      <c r="D28" t="str">
        <f t="shared" si="0"/>
        <v>EXPRESS</v>
      </c>
      <c r="E28">
        <f>INDEX([1]stations_60!A:A, MATCH(TRIM(F28), [1]stations_60!B:B, 0))</f>
        <v>127</v>
      </c>
      <c r="F28" t="s">
        <v>58</v>
      </c>
      <c r="G28">
        <f>INDEX([1]stations_60!A:A, MATCH(TRIM(H28), [1]stations_60!B:B, 0))</f>
        <v>10</v>
      </c>
      <c r="H28" t="s">
        <v>33</v>
      </c>
      <c r="I28" t="s">
        <v>13</v>
      </c>
      <c r="J28" t="s">
        <v>14</v>
      </c>
    </row>
    <row r="29" spans="1:10" x14ac:dyDescent="0.3">
      <c r="A29">
        <f t="shared" si="1"/>
        <v>128</v>
      </c>
      <c r="B29">
        <v>12454</v>
      </c>
      <c r="C29" t="s">
        <v>59</v>
      </c>
      <c r="D29" t="str">
        <f t="shared" si="0"/>
        <v>EXPRESS</v>
      </c>
      <c r="E29">
        <f>INDEX([1]stations_60!A:A, MATCH(TRIM(F29), [1]stations_60!B:B, 0))</f>
        <v>10</v>
      </c>
      <c r="F29" t="s">
        <v>33</v>
      </c>
      <c r="G29">
        <f>INDEX([1]stations_60!A:A, MATCH(TRIM(H29), [1]stations_60!B:B, 0))</f>
        <v>127</v>
      </c>
      <c r="H29" t="s">
        <v>58</v>
      </c>
      <c r="I29" t="s">
        <v>13</v>
      </c>
      <c r="J29" t="s">
        <v>14</v>
      </c>
    </row>
    <row r="30" spans="1:10" x14ac:dyDescent="0.3">
      <c r="A30">
        <f t="shared" si="1"/>
        <v>129</v>
      </c>
      <c r="B30">
        <v>12951</v>
      </c>
      <c r="C30" t="s">
        <v>60</v>
      </c>
      <c r="D30" t="str">
        <f t="shared" si="0"/>
        <v>RAJDHANI</v>
      </c>
      <c r="E30">
        <f>INDEX([1]stations_60!A:A, MATCH(TRIM(F30), [1]stations_60!B:B, 0))</f>
        <v>21</v>
      </c>
      <c r="F30" t="s">
        <v>61</v>
      </c>
      <c r="G30">
        <f>INDEX([1]stations_60!A:A, MATCH(TRIM(H30), [1]stations_60!B:B, 0))</f>
        <v>10</v>
      </c>
      <c r="H30" t="s">
        <v>33</v>
      </c>
      <c r="I30" t="s">
        <v>13</v>
      </c>
      <c r="J30" t="s">
        <v>14</v>
      </c>
    </row>
    <row r="31" spans="1:10" x14ac:dyDescent="0.3">
      <c r="A31">
        <f t="shared" si="1"/>
        <v>130</v>
      </c>
      <c r="B31">
        <v>12952</v>
      </c>
      <c r="C31" t="s">
        <v>60</v>
      </c>
      <c r="D31" t="str">
        <f t="shared" si="0"/>
        <v>RAJDHANI</v>
      </c>
      <c r="E31">
        <f>INDEX([1]stations_60!A:A, MATCH(TRIM(F31), [1]stations_60!B:B, 0))</f>
        <v>10</v>
      </c>
      <c r="F31" t="s">
        <v>33</v>
      </c>
      <c r="G31">
        <f>INDEX([1]stations_60!A:A, MATCH(TRIM(H31), [1]stations_60!B:B, 0))</f>
        <v>21</v>
      </c>
      <c r="H31" t="s">
        <v>61</v>
      </c>
      <c r="I31" t="s">
        <v>62</v>
      </c>
      <c r="J31" t="s">
        <v>14</v>
      </c>
    </row>
    <row r="32" spans="1:10" x14ac:dyDescent="0.3">
      <c r="A32">
        <f t="shared" si="1"/>
        <v>131</v>
      </c>
      <c r="B32">
        <v>12953</v>
      </c>
      <c r="C32" t="s">
        <v>63</v>
      </c>
      <c r="D32" t="str">
        <f t="shared" si="0"/>
        <v>RAJDHANI</v>
      </c>
      <c r="E32">
        <f>INDEX([1]stations_60!A:A, MATCH(TRIM(F32), [1]stations_60!B:B, 0))</f>
        <v>21</v>
      </c>
      <c r="F32" t="s">
        <v>61</v>
      </c>
      <c r="G32">
        <f>INDEX([1]stations_60!A:A, MATCH(TRIM(H32), [1]stations_60!B:B, 0))</f>
        <v>83</v>
      </c>
      <c r="H32" t="s">
        <v>30</v>
      </c>
      <c r="I32" t="s">
        <v>13</v>
      </c>
      <c r="J32" t="s">
        <v>14</v>
      </c>
    </row>
    <row r="33" spans="1:10" x14ac:dyDescent="0.3">
      <c r="A33">
        <f t="shared" si="1"/>
        <v>132</v>
      </c>
      <c r="B33">
        <v>12954</v>
      </c>
      <c r="C33" t="s">
        <v>64</v>
      </c>
      <c r="D33" t="str">
        <f t="shared" si="0"/>
        <v>EXPRESS</v>
      </c>
      <c r="E33">
        <f>INDEX([1]stations_60!A:A, MATCH(TRIM(F33), [1]stations_60!B:B, 0))</f>
        <v>83</v>
      </c>
      <c r="F33" t="s">
        <v>30</v>
      </c>
      <c r="G33">
        <f>INDEX([1]stations_60!A:A, MATCH(TRIM(H33), [1]stations_60!B:B, 0))</f>
        <v>21</v>
      </c>
      <c r="H33" t="s">
        <v>61</v>
      </c>
      <c r="I33" t="s">
        <v>65</v>
      </c>
      <c r="J33" t="s">
        <v>14</v>
      </c>
    </row>
    <row r="34" spans="1:10" x14ac:dyDescent="0.3">
      <c r="A34">
        <f t="shared" si="1"/>
        <v>133</v>
      </c>
      <c r="B34">
        <v>12957</v>
      </c>
      <c r="C34" t="s">
        <v>66</v>
      </c>
      <c r="D34" t="str">
        <f t="shared" ref="D34:D65" si="2">IF(ISNUMBER(SEARCH("RAJ", C34)), "RAJDHANI", IF(ISNUMBER(SEARCH("SHAT", C34)), "SHATABDI", IF(ISNUMBER(SEARCH("DUR", C34)), "DURONTO", "EXPRESS")))</f>
        <v>RAJDHANI</v>
      </c>
      <c r="E34">
        <f>INDEX([1]stations_60!A:A, MATCH(TRIM(F34), [1]stations_60!B:B, 0))</f>
        <v>29</v>
      </c>
      <c r="F34" t="s">
        <v>67</v>
      </c>
      <c r="G34">
        <f>INDEX([1]stations_60!A:A, MATCH(TRIM(H34), [1]stations_60!B:B, 0))</f>
        <v>10</v>
      </c>
      <c r="H34" t="s">
        <v>33</v>
      </c>
      <c r="I34" t="s">
        <v>13</v>
      </c>
      <c r="J34" t="s">
        <v>14</v>
      </c>
    </row>
    <row r="35" spans="1:10" x14ac:dyDescent="0.3">
      <c r="A35">
        <f t="shared" si="1"/>
        <v>134</v>
      </c>
      <c r="B35">
        <v>12958</v>
      </c>
      <c r="C35" t="s">
        <v>68</v>
      </c>
      <c r="D35" t="str">
        <f t="shared" si="2"/>
        <v>RAJDHANI</v>
      </c>
      <c r="E35">
        <f>INDEX([1]stations_60!A:A, MATCH(TRIM(F35), [1]stations_60!B:B, 0))</f>
        <v>10</v>
      </c>
      <c r="F35" t="s">
        <v>33</v>
      </c>
      <c r="G35">
        <f>INDEX([1]stations_60!A:A, MATCH(TRIM(H35), [1]stations_60!B:B, 0))</f>
        <v>29</v>
      </c>
      <c r="H35" t="s">
        <v>67</v>
      </c>
      <c r="I35" t="s">
        <v>65</v>
      </c>
      <c r="J35" t="s">
        <v>14</v>
      </c>
    </row>
    <row r="36" spans="1:10" x14ac:dyDescent="0.3">
      <c r="A36">
        <f t="shared" si="1"/>
        <v>135</v>
      </c>
      <c r="B36">
        <v>22691</v>
      </c>
      <c r="C36" t="s">
        <v>69</v>
      </c>
      <c r="D36" t="str">
        <f t="shared" si="2"/>
        <v>EXPRESS</v>
      </c>
      <c r="E36">
        <f>INDEX([1]stations_60!A:A, MATCH(TRIM(F36), [1]stations_60!B:B, 0))</f>
        <v>19</v>
      </c>
      <c r="F36" t="s">
        <v>70</v>
      </c>
      <c r="G36">
        <f>INDEX([1]stations_60!A:A, MATCH(TRIM(H36), [1]stations_60!B:B, 0))</f>
        <v>83</v>
      </c>
      <c r="H36" t="s">
        <v>30</v>
      </c>
      <c r="I36" t="s">
        <v>13</v>
      </c>
      <c r="J36" t="s">
        <v>14</v>
      </c>
    </row>
    <row r="37" spans="1:10" x14ac:dyDescent="0.3">
      <c r="A37">
        <f t="shared" si="1"/>
        <v>136</v>
      </c>
      <c r="B37">
        <v>22692</v>
      </c>
      <c r="C37" t="s">
        <v>69</v>
      </c>
      <c r="D37" t="str">
        <f t="shared" si="2"/>
        <v>EXPRESS</v>
      </c>
      <c r="E37">
        <f>INDEX([1]stations_60!A:A, MATCH(TRIM(F37), [1]stations_60!B:B, 0))</f>
        <v>83</v>
      </c>
      <c r="F37" t="s">
        <v>30</v>
      </c>
      <c r="G37">
        <f>INDEX([1]stations_60!A:A, MATCH(TRIM(H37), [1]stations_60!B:B, 0))</f>
        <v>19</v>
      </c>
      <c r="H37" t="s">
        <v>70</v>
      </c>
      <c r="I37" t="s">
        <v>13</v>
      </c>
      <c r="J37" t="s">
        <v>14</v>
      </c>
    </row>
    <row r="38" spans="1:10" x14ac:dyDescent="0.3">
      <c r="A38">
        <f t="shared" si="1"/>
        <v>137</v>
      </c>
      <c r="B38">
        <v>22811</v>
      </c>
      <c r="C38" t="s">
        <v>71</v>
      </c>
      <c r="D38" t="str">
        <f t="shared" si="2"/>
        <v>RAJDHANI</v>
      </c>
      <c r="E38">
        <f>INDEX([1]stations_60!A:A, MATCH(TRIM(F38), [1]stations_60!B:B, 0))</f>
        <v>75</v>
      </c>
      <c r="F38" t="s">
        <v>72</v>
      </c>
      <c r="G38">
        <f>INDEX([1]stations_60!A:A, MATCH(TRIM(H38), [1]stations_60!B:B, 0))</f>
        <v>10</v>
      </c>
      <c r="H38" t="s">
        <v>33</v>
      </c>
      <c r="I38" t="s">
        <v>13</v>
      </c>
      <c r="J38" t="s">
        <v>14</v>
      </c>
    </row>
    <row r="39" spans="1:10" x14ac:dyDescent="0.3">
      <c r="A39">
        <f t="shared" si="1"/>
        <v>138</v>
      </c>
      <c r="B39">
        <v>22812</v>
      </c>
      <c r="C39" t="s">
        <v>73</v>
      </c>
      <c r="D39" t="str">
        <f t="shared" si="2"/>
        <v>RAJDHANI</v>
      </c>
      <c r="E39">
        <f>INDEX([1]stations_60!A:A, MATCH(TRIM(F39), [1]stations_60!B:B, 0))</f>
        <v>10</v>
      </c>
      <c r="F39" t="s">
        <v>33</v>
      </c>
      <c r="G39">
        <f>INDEX([1]stations_60!A:A, MATCH(TRIM(H39), [1]stations_60!B:B, 0))</f>
        <v>75</v>
      </c>
      <c r="H39" t="s">
        <v>72</v>
      </c>
      <c r="I39" t="s">
        <v>13</v>
      </c>
      <c r="J39" t="s">
        <v>14</v>
      </c>
    </row>
    <row r="40" spans="1:10" x14ac:dyDescent="0.3">
      <c r="A40">
        <f t="shared" si="1"/>
        <v>139</v>
      </c>
      <c r="B40">
        <v>12001</v>
      </c>
      <c r="C40" t="s">
        <v>74</v>
      </c>
      <c r="D40" t="str">
        <f t="shared" si="2"/>
        <v>EXPRESS</v>
      </c>
      <c r="E40">
        <f>INDEX([1]stations_60!A:A, MATCH(TRIM(F40), [1]stations_60!B:B, 0))</f>
        <v>1</v>
      </c>
      <c r="F40" t="s">
        <v>75</v>
      </c>
      <c r="G40">
        <f>INDEX([1]stations_60!A:A, MATCH(TRIM(H40), [1]stations_60!B:B, 0))</f>
        <v>10</v>
      </c>
      <c r="H40" t="s">
        <v>33</v>
      </c>
      <c r="I40" t="s">
        <v>65</v>
      </c>
      <c r="J40" t="s">
        <v>14</v>
      </c>
    </row>
    <row r="41" spans="1:10" x14ac:dyDescent="0.3">
      <c r="A41">
        <f t="shared" si="1"/>
        <v>140</v>
      </c>
      <c r="B41">
        <v>12002</v>
      </c>
      <c r="C41" t="s">
        <v>76</v>
      </c>
      <c r="D41" t="str">
        <f t="shared" si="2"/>
        <v>EXPRESS</v>
      </c>
      <c r="E41">
        <f>INDEX([1]stations_60!A:A, MATCH(TRIM(F41), [1]stations_60!B:B, 0))</f>
        <v>10</v>
      </c>
      <c r="F41" t="s">
        <v>33</v>
      </c>
      <c r="G41">
        <f>INDEX([1]stations_60!A:A, MATCH(TRIM(H41), [1]stations_60!B:B, 0))</f>
        <v>1</v>
      </c>
      <c r="H41" t="s">
        <v>75</v>
      </c>
      <c r="I41" t="s">
        <v>47</v>
      </c>
      <c r="J41" t="s">
        <v>14</v>
      </c>
    </row>
    <row r="42" spans="1:10" x14ac:dyDescent="0.3">
      <c r="A42">
        <f t="shared" si="1"/>
        <v>141</v>
      </c>
      <c r="B42">
        <v>12003</v>
      </c>
      <c r="C42" t="s">
        <v>77</v>
      </c>
      <c r="D42" t="str">
        <f t="shared" si="2"/>
        <v>EXPRESS</v>
      </c>
      <c r="E42">
        <f>INDEX([1]stations_60!A:A, MATCH(TRIM(F42), [1]stations_60!B:B, 0))</f>
        <v>11</v>
      </c>
      <c r="F42" t="s">
        <v>78</v>
      </c>
      <c r="G42">
        <f>INDEX([1]stations_60!A:A, MATCH(TRIM(H42), [1]stations_60!B:B, 0))</f>
        <v>10</v>
      </c>
      <c r="H42" t="s">
        <v>33</v>
      </c>
      <c r="I42" t="s">
        <v>36</v>
      </c>
      <c r="J42" t="s">
        <v>14</v>
      </c>
    </row>
    <row r="43" spans="1:10" x14ac:dyDescent="0.3">
      <c r="A43">
        <f t="shared" si="1"/>
        <v>142</v>
      </c>
      <c r="B43">
        <v>12004</v>
      </c>
      <c r="C43" t="s">
        <v>79</v>
      </c>
      <c r="D43" t="str">
        <f t="shared" si="2"/>
        <v>EXPRESS</v>
      </c>
      <c r="E43">
        <f>INDEX([1]stations_60!A:A, MATCH(TRIM(F43), [1]stations_60!B:B, 0))</f>
        <v>10</v>
      </c>
      <c r="F43" t="s">
        <v>33</v>
      </c>
      <c r="G43">
        <f>INDEX([1]stations_60!A:A, MATCH(TRIM(H43), [1]stations_60!B:B, 0))</f>
        <v>11</v>
      </c>
      <c r="H43" t="s">
        <v>78</v>
      </c>
      <c r="I43" t="s">
        <v>13</v>
      </c>
      <c r="J43" t="s">
        <v>14</v>
      </c>
    </row>
    <row r="44" spans="1:10" x14ac:dyDescent="0.3">
      <c r="A44">
        <f t="shared" si="1"/>
        <v>143</v>
      </c>
      <c r="B44">
        <v>12009</v>
      </c>
      <c r="C44" t="s">
        <v>80</v>
      </c>
      <c r="D44" t="str">
        <f t="shared" si="2"/>
        <v>SHATABDI</v>
      </c>
      <c r="E44">
        <f>INDEX([1]stations_60!A:A, MATCH(TRIM(F44), [1]stations_60!B:B, 0))</f>
        <v>21</v>
      </c>
      <c r="F44" t="s">
        <v>61</v>
      </c>
      <c r="G44">
        <f>INDEX([1]stations_60!A:A, MATCH(TRIM(H44), [1]stations_60!B:B, 0))</f>
        <v>29</v>
      </c>
      <c r="H44" t="s">
        <v>67</v>
      </c>
      <c r="I44" t="s">
        <v>41</v>
      </c>
      <c r="J44" t="s">
        <v>14</v>
      </c>
    </row>
    <row r="45" spans="1:10" x14ac:dyDescent="0.3">
      <c r="A45">
        <f t="shared" si="1"/>
        <v>144</v>
      </c>
      <c r="B45">
        <v>12010</v>
      </c>
      <c r="C45" t="s">
        <v>80</v>
      </c>
      <c r="D45" t="str">
        <f t="shared" si="2"/>
        <v>SHATABDI</v>
      </c>
      <c r="E45">
        <f>INDEX([1]stations_60!A:A, MATCH(TRIM(F45), [1]stations_60!B:B, 0))</f>
        <v>29</v>
      </c>
      <c r="F45" t="s">
        <v>67</v>
      </c>
      <c r="G45">
        <f>INDEX([1]stations_60!A:A, MATCH(TRIM(H45), [1]stations_60!B:B, 0))</f>
        <v>21</v>
      </c>
      <c r="H45" t="s">
        <v>61</v>
      </c>
      <c r="I45" t="s">
        <v>49</v>
      </c>
      <c r="J45" t="s">
        <v>14</v>
      </c>
    </row>
    <row r="46" spans="1:10" x14ac:dyDescent="0.3">
      <c r="A46">
        <f t="shared" si="1"/>
        <v>145</v>
      </c>
      <c r="B46">
        <v>12013</v>
      </c>
      <c r="C46" t="s">
        <v>81</v>
      </c>
      <c r="D46" t="str">
        <f t="shared" si="2"/>
        <v>EXPRESS</v>
      </c>
      <c r="E46">
        <f>INDEX([1]stations_60!A:A, MATCH(TRIM(F46), [1]stations_60!B:B, 0))</f>
        <v>10</v>
      </c>
      <c r="F46" t="s">
        <v>33</v>
      </c>
      <c r="G46">
        <f>INDEX([1]stations_60!A:A, MATCH(TRIM(H46), [1]stations_60!B:B, 0))</f>
        <v>36</v>
      </c>
      <c r="H46" t="s">
        <v>82</v>
      </c>
      <c r="I46" t="s">
        <v>13</v>
      </c>
      <c r="J46" t="s">
        <v>14</v>
      </c>
    </row>
    <row r="47" spans="1:10" x14ac:dyDescent="0.3">
      <c r="A47">
        <f t="shared" si="1"/>
        <v>146</v>
      </c>
      <c r="B47">
        <v>12014</v>
      </c>
      <c r="C47" t="s">
        <v>83</v>
      </c>
      <c r="D47" t="str">
        <f t="shared" si="2"/>
        <v>EXPRESS</v>
      </c>
      <c r="E47">
        <f>INDEX([1]stations_60!A:A, MATCH(TRIM(F47), [1]stations_60!B:B, 0))</f>
        <v>36</v>
      </c>
      <c r="F47" t="s">
        <v>82</v>
      </c>
      <c r="G47">
        <f>INDEX([1]stations_60!A:A, MATCH(TRIM(H47), [1]stations_60!B:B, 0))</f>
        <v>10</v>
      </c>
      <c r="H47" t="s">
        <v>33</v>
      </c>
      <c r="I47" t="s">
        <v>13</v>
      </c>
      <c r="J47" t="s">
        <v>14</v>
      </c>
    </row>
    <row r="48" spans="1:10" x14ac:dyDescent="0.3">
      <c r="A48">
        <f t="shared" si="1"/>
        <v>147</v>
      </c>
      <c r="B48">
        <v>12017</v>
      </c>
      <c r="C48" t="s">
        <v>84</v>
      </c>
      <c r="D48" t="str">
        <f t="shared" si="2"/>
        <v>EXPRESS</v>
      </c>
      <c r="E48">
        <f>INDEX([1]stations_60!A:A, MATCH(TRIM(F48), [1]stations_60!B:B, 0))</f>
        <v>10</v>
      </c>
      <c r="F48" t="s">
        <v>33</v>
      </c>
      <c r="G48">
        <f>INDEX([1]stations_60!A:A, MATCH(TRIM(H48), [1]stations_60!B:B, 0))</f>
        <v>42</v>
      </c>
      <c r="H48" t="s">
        <v>85</v>
      </c>
      <c r="I48" t="s">
        <v>13</v>
      </c>
      <c r="J48" t="s">
        <v>14</v>
      </c>
    </row>
    <row r="49" spans="1:10" x14ac:dyDescent="0.3">
      <c r="A49">
        <f t="shared" si="1"/>
        <v>148</v>
      </c>
      <c r="B49">
        <v>12018</v>
      </c>
      <c r="C49" t="s">
        <v>86</v>
      </c>
      <c r="D49" t="str">
        <f t="shared" si="2"/>
        <v>EXPRESS</v>
      </c>
      <c r="E49">
        <f>INDEX([1]stations_60!A:A, MATCH(TRIM(F49), [1]stations_60!B:B, 0))</f>
        <v>42</v>
      </c>
      <c r="F49" t="s">
        <v>85</v>
      </c>
      <c r="G49">
        <f>INDEX([1]stations_60!A:A, MATCH(TRIM(H49), [1]stations_60!B:B, 0))</f>
        <v>10</v>
      </c>
      <c r="H49" t="s">
        <v>33</v>
      </c>
      <c r="I49" t="s">
        <v>13</v>
      </c>
      <c r="J49" t="s">
        <v>14</v>
      </c>
    </row>
    <row r="50" spans="1:10" x14ac:dyDescent="0.3">
      <c r="A50">
        <f t="shared" si="1"/>
        <v>149</v>
      </c>
      <c r="B50">
        <v>12025</v>
      </c>
      <c r="C50" t="s">
        <v>87</v>
      </c>
      <c r="D50" t="str">
        <f t="shared" si="2"/>
        <v>SHATABDI</v>
      </c>
      <c r="E50">
        <f>INDEX([1]stations_60!A:A, MATCH(TRIM(F50), [1]stations_60!B:B, 0))</f>
        <v>43</v>
      </c>
      <c r="F50" t="s">
        <v>11</v>
      </c>
      <c r="G50">
        <f>INDEX([1]stations_60!A:A, MATCH(TRIM(H50), [1]stations_60!B:B, 0))</f>
        <v>50</v>
      </c>
      <c r="H50" t="s">
        <v>51</v>
      </c>
      <c r="I50" t="s">
        <v>13</v>
      </c>
      <c r="J50" t="s">
        <v>14</v>
      </c>
    </row>
    <row r="51" spans="1:10" x14ac:dyDescent="0.3">
      <c r="A51">
        <f t="shared" si="1"/>
        <v>150</v>
      </c>
      <c r="B51">
        <v>12026</v>
      </c>
      <c r="C51" t="s">
        <v>88</v>
      </c>
      <c r="D51" t="str">
        <f t="shared" si="2"/>
        <v>SHATABDI</v>
      </c>
      <c r="E51">
        <f>INDEX([1]stations_60!A:A, MATCH(TRIM(F51), [1]stations_60!B:B, 0))</f>
        <v>50</v>
      </c>
      <c r="F51" t="s">
        <v>51</v>
      </c>
      <c r="G51">
        <f>INDEX([1]stations_60!A:A, MATCH(TRIM(H51), [1]stations_60!B:B, 0))</f>
        <v>43</v>
      </c>
      <c r="H51" t="s">
        <v>11</v>
      </c>
      <c r="I51" t="s">
        <v>62</v>
      </c>
      <c r="J51" t="s">
        <v>14</v>
      </c>
    </row>
    <row r="52" spans="1:10" x14ac:dyDescent="0.3">
      <c r="A52">
        <f t="shared" si="1"/>
        <v>151</v>
      </c>
      <c r="B52">
        <v>12085</v>
      </c>
      <c r="C52" t="s">
        <v>89</v>
      </c>
      <c r="D52" t="str">
        <f t="shared" si="2"/>
        <v>EXPRESS</v>
      </c>
      <c r="E52">
        <f>INDEX([1]stations_60!A:A, MATCH(TRIM(F52), [1]stations_60!B:B, 0))</f>
        <v>52</v>
      </c>
      <c r="F52" t="s">
        <v>90</v>
      </c>
      <c r="G52">
        <f>INDEX([1]stations_60!A:A, MATCH(TRIM(H52), [1]stations_60!B:B, 0))</f>
        <v>61</v>
      </c>
      <c r="H52" t="s">
        <v>91</v>
      </c>
      <c r="I52" t="s">
        <v>13</v>
      </c>
      <c r="J52" t="s">
        <v>14</v>
      </c>
    </row>
    <row r="53" spans="1:10" x14ac:dyDescent="0.3">
      <c r="A53">
        <f t="shared" si="1"/>
        <v>152</v>
      </c>
      <c r="B53">
        <v>12086</v>
      </c>
      <c r="C53" t="s">
        <v>92</v>
      </c>
      <c r="D53" t="str">
        <f t="shared" si="2"/>
        <v>EXPRESS</v>
      </c>
      <c r="E53">
        <f>INDEX([1]stations_60!A:A, MATCH(TRIM(F53), [1]stations_60!B:B, 0))</f>
        <v>61</v>
      </c>
      <c r="F53" t="s">
        <v>91</v>
      </c>
      <c r="G53">
        <f>INDEX([1]stations_60!A:A, MATCH(TRIM(H53), [1]stations_60!B:B, 0))</f>
        <v>52</v>
      </c>
      <c r="H53" t="s">
        <v>90</v>
      </c>
      <c r="I53" t="s">
        <v>13</v>
      </c>
      <c r="J53" t="s">
        <v>14</v>
      </c>
    </row>
    <row r="54" spans="1:10" x14ac:dyDescent="0.3">
      <c r="A54">
        <f t="shared" si="1"/>
        <v>153</v>
      </c>
      <c r="B54">
        <v>12007</v>
      </c>
      <c r="C54" t="s">
        <v>93</v>
      </c>
      <c r="D54" t="str">
        <f t="shared" si="2"/>
        <v>SHATABDI</v>
      </c>
      <c r="E54">
        <f>INDEX([1]stations_60!A:A, MATCH(TRIM(F54), [1]stations_60!B:B, 0))</f>
        <v>17</v>
      </c>
      <c r="F54" t="s">
        <v>29</v>
      </c>
      <c r="G54">
        <f>INDEX([1]stations_60!A:A, MATCH(TRIM(H54), [1]stations_60!B:B, 0))</f>
        <v>20</v>
      </c>
      <c r="H54" t="s">
        <v>94</v>
      </c>
      <c r="I54" t="s">
        <v>13</v>
      </c>
      <c r="J54" t="s">
        <v>14</v>
      </c>
    </row>
    <row r="55" spans="1:10" x14ac:dyDescent="0.3">
      <c r="A55">
        <f t="shared" si="1"/>
        <v>154</v>
      </c>
      <c r="B55">
        <v>12008</v>
      </c>
      <c r="C55" t="s">
        <v>95</v>
      </c>
      <c r="D55" t="str">
        <f t="shared" si="2"/>
        <v>SHATABDI</v>
      </c>
      <c r="E55">
        <f>INDEX([1]stations_60!A:A, MATCH(TRIM(F55), [1]stations_60!B:B, 0))</f>
        <v>20</v>
      </c>
      <c r="F55" t="s">
        <v>94</v>
      </c>
      <c r="G55">
        <f>INDEX([1]stations_60!A:A, MATCH(TRIM(H55), [1]stations_60!B:B, 0))</f>
        <v>17</v>
      </c>
      <c r="H55" t="s">
        <v>29</v>
      </c>
      <c r="I55" t="s">
        <v>13</v>
      </c>
      <c r="J55" t="s">
        <v>14</v>
      </c>
    </row>
    <row r="56" spans="1:10" x14ac:dyDescent="0.3">
      <c r="A56">
        <f t="shared" si="1"/>
        <v>155</v>
      </c>
      <c r="B56">
        <v>12027</v>
      </c>
      <c r="C56" t="s">
        <v>96</v>
      </c>
      <c r="D56" t="str">
        <f t="shared" si="2"/>
        <v>SHATABDI</v>
      </c>
      <c r="E56">
        <f>INDEX([1]stations_60!A:A, MATCH(TRIM(F56), [1]stations_60!B:B, 0))</f>
        <v>17</v>
      </c>
      <c r="F56" t="s">
        <v>29</v>
      </c>
      <c r="G56">
        <f>INDEX([1]stations_60!A:A, MATCH(TRIM(H56), [1]stations_60!B:B, 0))</f>
        <v>19</v>
      </c>
      <c r="H56" t="s">
        <v>70</v>
      </c>
      <c r="I56" t="s">
        <v>13</v>
      </c>
      <c r="J56" t="s">
        <v>14</v>
      </c>
    </row>
    <row r="57" spans="1:10" x14ac:dyDescent="0.3">
      <c r="A57">
        <f t="shared" si="1"/>
        <v>156</v>
      </c>
      <c r="B57">
        <v>12028</v>
      </c>
      <c r="C57" t="s">
        <v>97</v>
      </c>
      <c r="D57" t="str">
        <f t="shared" si="2"/>
        <v>SHATABDI</v>
      </c>
      <c r="E57">
        <f>INDEX([1]stations_60!A:A, MATCH(TRIM(F57), [1]stations_60!B:B, 0))</f>
        <v>19</v>
      </c>
      <c r="F57" t="s">
        <v>70</v>
      </c>
      <c r="G57">
        <f>INDEX([1]stations_60!A:A, MATCH(TRIM(H57), [1]stations_60!B:B, 0))</f>
        <v>17</v>
      </c>
      <c r="H57" t="s">
        <v>29</v>
      </c>
      <c r="I57" t="s">
        <v>13</v>
      </c>
      <c r="J57" t="s">
        <v>14</v>
      </c>
    </row>
    <row r="58" spans="1:10" x14ac:dyDescent="0.3">
      <c r="A58">
        <f t="shared" si="1"/>
        <v>157</v>
      </c>
      <c r="B58">
        <v>12219</v>
      </c>
      <c r="C58" t="s">
        <v>98</v>
      </c>
      <c r="D58" t="str">
        <f t="shared" si="2"/>
        <v>EXPRESS</v>
      </c>
      <c r="E58">
        <f>INDEX([1]stations_60!A:A, MATCH(TRIM(F58), [1]stations_60!B:B, 0))</f>
        <v>62</v>
      </c>
      <c r="F58" t="s">
        <v>17</v>
      </c>
      <c r="G58">
        <f>INDEX([1]stations_60!A:A, MATCH(TRIM(H58), [1]stations_60!B:B, 0))</f>
        <v>50</v>
      </c>
      <c r="H58" t="s">
        <v>51</v>
      </c>
      <c r="I58" t="s">
        <v>41</v>
      </c>
      <c r="J58" t="s">
        <v>14</v>
      </c>
    </row>
    <row r="59" spans="1:10" x14ac:dyDescent="0.3">
      <c r="A59">
        <f t="shared" si="1"/>
        <v>158</v>
      </c>
      <c r="B59">
        <v>12220</v>
      </c>
      <c r="C59" t="s">
        <v>99</v>
      </c>
      <c r="D59" t="str">
        <f t="shared" si="2"/>
        <v>EXPRESS</v>
      </c>
      <c r="E59">
        <f>INDEX([1]stations_60!A:A, MATCH(TRIM(F59), [1]stations_60!B:B, 0))</f>
        <v>50</v>
      </c>
      <c r="F59" t="s">
        <v>51</v>
      </c>
      <c r="G59">
        <f>INDEX([1]stations_60!A:A, MATCH(TRIM(H59), [1]stations_60!B:B, 0))</f>
        <v>62</v>
      </c>
      <c r="H59" t="s">
        <v>17</v>
      </c>
      <c r="I59" t="s">
        <v>100</v>
      </c>
      <c r="J59" t="s">
        <v>14</v>
      </c>
    </row>
    <row r="60" spans="1:10" x14ac:dyDescent="0.3">
      <c r="A60">
        <f t="shared" si="1"/>
        <v>159</v>
      </c>
      <c r="B60">
        <v>12425</v>
      </c>
      <c r="C60" t="s">
        <v>101</v>
      </c>
      <c r="D60" t="str">
        <f t="shared" si="2"/>
        <v>RAJDHANI</v>
      </c>
      <c r="E60">
        <f>INDEX([1]stations_60!A:A, MATCH(TRIM(F60), [1]stations_60!B:B, 0))</f>
        <v>10</v>
      </c>
      <c r="F60" t="s">
        <v>33</v>
      </c>
      <c r="G60">
        <f>INDEX([1]stations_60!A:A, MATCH(TRIM(H60), [1]stations_60!B:B, 0))</f>
        <v>108</v>
      </c>
      <c r="H60" t="s">
        <v>102</v>
      </c>
      <c r="I60" t="s">
        <v>13</v>
      </c>
      <c r="J60" t="s">
        <v>14</v>
      </c>
    </row>
    <row r="61" spans="1:10" x14ac:dyDescent="0.3">
      <c r="A61">
        <f t="shared" si="1"/>
        <v>160</v>
      </c>
      <c r="B61">
        <v>12426</v>
      </c>
      <c r="C61" t="s">
        <v>103</v>
      </c>
      <c r="D61" t="str">
        <f t="shared" si="2"/>
        <v>RAJDHANI</v>
      </c>
      <c r="E61">
        <f>INDEX([1]stations_60!A:A, MATCH(TRIM(F61), [1]stations_60!B:B, 0))</f>
        <v>108</v>
      </c>
      <c r="F61" t="s">
        <v>102</v>
      </c>
      <c r="G61">
        <f>INDEX([1]stations_60!A:A, MATCH(TRIM(H61), [1]stations_60!B:B, 0))</f>
        <v>10</v>
      </c>
      <c r="H61" t="s">
        <v>33</v>
      </c>
      <c r="I61" t="s">
        <v>62</v>
      </c>
      <c r="J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22443_Soumya Deshpande</dc:creator>
  <cp:lastModifiedBy>Ved Palnitkar</cp:lastModifiedBy>
  <dcterms:created xsi:type="dcterms:W3CDTF">2026-10-13T17:31:14Z</dcterms:created>
  <dcterms:modified xsi:type="dcterms:W3CDTF">2026-10-17T13:09:45Z</dcterms:modified>
</cp:coreProperties>
</file>